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e21dc4985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8363da98f8948a1"/>
    <x:sheet xmlns:r="http://schemas.openxmlformats.org/officeDocument/2006/relationships" name="Setup" sheetId="2" r:id="R7dc657d07a0447eb"/>
    <x:sheet xmlns:r="http://schemas.openxmlformats.org/officeDocument/2006/relationships" name="Invoices" sheetId="3" r:id="Rd7056ae0d8a34349"/>
    <x:sheet xmlns:r="http://schemas.openxmlformats.org/officeDocument/2006/relationships" name="Items" sheetId="4" r:id="R0abc608180c24701"/>
    <x:sheet xmlns:r="http://schemas.openxmlformats.org/officeDocument/2006/relationships" name="PZ_Output" sheetId="5" r:id="Rfaa5e2fbb551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0"/>
    <x:numFmt numFmtId="201" formatCode="0.0000"/>
    <x:numFmt numFmtId="202" formatCode="#,##0.00"/>
  </x:numFmts>
  <x:fonts count="10">
    <x:font>
      <x:sz val="11"/>
      <x:name val="Carlito"/>
    </x:font>
    <x:font>
      <x:b/>
      <x:sz val="11"/>
      <x:name val="Carlito"/>
    </x:font>
    <x:font>
      <x:b/>
      <x:sz val="15"/>
      <x:name val="Carlito"/>
    </x:font>
    <x:font>
      <x:b/>
      <x:sz val="14"/>
      <x:name val="Carlito"/>
    </x:font>
    <x:font>
      <x:b/>
      <x:sz val="15"/>
      <x:name val="Aptos"/>
    </x:font>
    <x:font>
      <x:sz val="11"/>
      <x:name val="Aptos"/>
    </x:font>
    <x:font>
      <x:b/>
      <x:sz val="10"/>
      <x:name val="Aptos"/>
    </x:font>
    <x:font>
      <x:sz val="10"/>
      <x:name val="Aptos"/>
    </x:font>
    <x:font>
      <x:b/>
      <x:sz val="14"/>
      <x:name val="Aptos"/>
    </x:font>
    <x:font>
      <x:b/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AF4EA"/>
      </x:patternFill>
    </x:fill>
    <x:fill>
      <x:patternFill patternType="solid">
        <x:fgColor rgb="EEF3F8"/>
      </x:patternFill>
    </x:fill>
    <x:fill>
      <x:patternFill patternType="solid">
        <x:fgColor rgb="F7F9F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5" fillId="3" borderId="0" xfId="0" applyNumberFormat="1" applyFont="1" applyFill="1" applyBorder="1"/>
    <x:xf numFmtId="0" fontId="8" fillId="2" borderId="1" xfId="0" applyNumberFormat="1" applyFont="1" applyFill="1" applyBorder="1"/>
    <x:xf numFmtId="0" fontId="9" fillId="0" borderId="1" xfId="0" applyNumberFormat="1" applyFont="1" applyFill="1" applyBorder="1"/>
    <x:xf numFmtId="0" fontId="5" fillId="3" borderId="1" xfId="0" applyNumberFormat="1" applyFont="1" applyFill="1" applyBorder="1"/>
    <x:xf numFmtId="0" fontId="6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2" borderId="1" xfId="0" applyNumberFormat="1" applyFont="1" applyFill="1" applyBorder="1"/>
    <x:xf numFmtId="0" fontId="6" fillId="0" borderId="1" xfId="0" applyNumberFormat="1" applyFont="1" applyFill="1" applyBorder="1"/>
    <x:xf numFmtId="0" fontId="7" fillId="3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d35211c994333" /><Relationship Type="http://schemas.openxmlformats.org/officeDocument/2006/relationships/theme" Target="/xl/theme/theme1.xml" Id="Reea864f03c0c4622" /><Relationship Type="http://schemas.openxmlformats.org/officeDocument/2006/relationships/sharedStrings" Target="/xl/sharedStrings.xml" Id="R2018add6acdc42dc" /><Relationship Type="http://schemas.openxmlformats.org/officeDocument/2006/relationships/worksheet" Target="/xl/worksheets/sheet1.xml" Id="R18363da98f8948a1" /><Relationship Type="http://schemas.openxmlformats.org/officeDocument/2006/relationships/worksheet" Target="/xl/worksheets/sheet2.xml" Id="R7dc657d07a0447eb" /><Relationship Type="http://schemas.openxmlformats.org/officeDocument/2006/relationships/worksheet" Target="/xl/worksheets/sheet3.xml" Id="Rd7056ae0d8a34349" /><Relationship Type="http://schemas.openxmlformats.org/officeDocument/2006/relationships/worksheet" Target="/xl/worksheets/sheet4.xml" Id="R0abc608180c24701" /><Relationship Type="http://schemas.openxmlformats.org/officeDocument/2006/relationships/worksheet" Target="/xl/worksheets/sheet5.xml" Id="Rfaa5e2fbb55148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15" hidden="0" customHeight="1">
      <x:c r="A1" s="20" t="str">
        <x:v>PZ import calculation workbook</x:v>
      </x:c>
    </x:row>
    <x:row r="2" ht="15" hidden="0" customHeight="1">
      <x:c r="A2" s="21"/>
    </x:row>
    <x:row r="3" ht="15" hidden="0" customHeight="1">
      <x:c r="A3" s="38" t="str">
        <x:v>How to use</x:v>
      </x:c>
    </x:row>
    <x:row r="4" ht="15" hidden="0" customHeight="1">
      <x:c r="A4" s="36" t="str">
        <x:v>1. Update Setup sheet first: duty, VAT reference, NBP rate, MRN, LRN, dates.</x:v>
      </x:c>
    </x:row>
    <x:row r="5" ht="15" hidden="0" customHeight="1">
      <x:c r="A5" s="36" t="str">
        <x:v>2. Replace or extend rows in Invoices and Items. Keep one invoice row per invoice and one item row per invoice line.</x:v>
      </x:c>
    </x:row>
    <x:row r="6" ht="15" hidden="0" customHeight="1">
      <x:c r="A6" s="36" t="str">
        <x:v>3. Do not overwrite formula columns in Items and PZ_Output.</x:v>
      </x:c>
    </x:row>
    <x:row r="7" ht="15" hidden="0" customHeight="1">
      <x:c r="A7" s="36" t="str">
        <x:v>4. Quantity must be the value after the second PCS/PRS token in invoice rows.</x:v>
      </x:c>
    </x:row>
    <x:row r="8" ht="15" hidden="0" customHeight="1">
      <x:c r="A8" s="36" t="str">
        <x:v>5. Duty must use ZC429 A00 charged amount only, never customs base.</x:v>
      </x:c>
    </x:row>
    <x:row r="9" ht="15" hidden="0" customHeight="1">
      <x:c r="A9" s="36" t="str">
        <x:v>6. PZ_Output is the final copy-ready layout for wFirma style entry.</x:v>
      </x:c>
    </x:row>
    <x:row r="10" ht="15" hidden="0" customHeight="1">
      <x:c r="A10" s="36"/>
    </x:row>
    <x:row r="11" ht="15" hidden="0" customHeight="1">
      <x:c r="A11" s="38" t="str">
        <x:v>Locked calculation rules</x:v>
      </x:c>
    </x:row>
    <x:row r="12" ht="15" hidden="0" customHeight="1">
      <x:c r="A12" s="36" t="str">
        <x:v>• Shipping per item = item USD amount / invoice FOB × (invoice freight + invoice insurance)</x:v>
      </x:c>
    </x:row>
    <x:row r="13" ht="15" hidden="0" customHeight="1">
      <x:c r="A13" s="36" t="str">
        <x:v>• Purchase PLN = item USD amount × NBP USD rate</x:v>
      </x:c>
    </x:row>
    <x:row r="14" ht="15" hidden="0" customHeight="1">
      <x:c r="A14" s="36" t="str">
        <x:v>• Before duty PLN = Purchase PLN + allocated shipping PLN</x:v>
      </x:c>
    </x:row>
    <x:row r="15" ht="15" hidden="0" customHeight="1">
      <x:c r="A15" s="36" t="str">
        <x:v>• Duty rate = A00 duty paid / total Before duty PLN</x:v>
      </x:c>
    </x:row>
    <x:row r="16" ht="15" hidden="0" customHeight="1">
      <x:c r="A16" s="36" t="str">
        <x:v>• Duty PLN per row = Before duty PLN × duty rate</x:v>
      </x:c>
    </x:row>
    <x:row r="17" ht="15" hidden="0" customHeight="1">
      <x:c r="A17" s="36" t="str">
        <x:v>• Net value PLN = Before duty PLN + Duty PLN</x:v>
      </x:c>
    </x:row>
    <x:row r="18" ht="15" hidden="0" customHeight="1">
      <x:c r="A18" s="36" t="str">
        <x:v>• Unit net PLN = Net value PLN / quantity</x:v>
      </x:c>
    </x:row>
    <x:row r="19" ht="15" hidden="0" customHeight="1">
      <x:c r="A19" s="21" t="str">
        <x:v>• Gross PLN = Net value PLN × 23%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2" hidden="0" customWidth="1"/>
    <x:col min="5" max="5" width="24" hidden="0" customWidth="1"/>
  </x:cols>
  <x:sheetData>
    <x:row r="1" ht="15" hidden="0" customHeight="1">
      <x:c r="A1" s="30" t="str">
        <x:v>Batch setup and control totals</x:v>
      </x:c>
      <x:c r="B1" s="21"/>
      <x:c r="C1" s="21"/>
      <x:c r="D1" s="21"/>
      <x:c r="E1" s="21"/>
    </x:row>
    <x:row r="2" ht="15" hidden="0" customHeight="1">
      <x:c r="A2" s="21"/>
      <x:c r="B2" s="21"/>
      <x:c r="C2" s="21"/>
      <x:c r="D2" s="21"/>
      <x:c r="E2" s="21"/>
    </x:row>
    <x:row r="3" ht="15" hidden="0" customHeight="1">
      <x:c r="A3" s="31" t="str">
        <x:v>Document no</x:v>
      </x:c>
      <x:c r="B3" s="21" t="str">
        <x:v>PZ TEMPLATE / 39-44</x:v>
      </x:c>
      <x:c r="C3" s="21"/>
      <x:c r="D3" s="40" t="str">
        <x:v>Reference checks</x:v>
      </x:c>
      <x:c r="E3" s="40" t="str">
        <x:v>Value</x:v>
      </x:c>
    </x:row>
    <x:row r="4" ht="15" hidden="0" customHeight="1">
      <x:c r="A4" s="31" t="str">
        <x:v>Issue date</x:v>
      </x:c>
      <x:c r="B4" s="21" t="str">
        <x:v>15.04.2026</x:v>
      </x:c>
      <x:c r="C4" s="21"/>
      <x:c r="D4" s="21" t="str">
        <x:v>Total invoice FOB USD</x:v>
      </x:c>
      <x:c r="E4" s="54" t="n">
        <x:f>SUM(Invoices!C2:C20)</x:f>
        <x:v>13120</x:v>
      </x:c>
    </x:row>
    <x:row r="5" ht="15" hidden="0" customHeight="1">
      <x:c r="A5" s="31" t="str">
        <x:v>A00 duty paid PLN</x:v>
      </x:c>
      <x:c r="B5" s="50" t="n">
        <x:v>1225</x:v>
      </x:c>
      <x:c r="C5" s="21"/>
      <x:c r="D5" s="21" t="str">
        <x:v>Total freight USD</x:v>
      </x:c>
      <x:c r="E5" s="54" t="n">
        <x:f>SUM(Invoices!D2:D20)</x:f>
        <x:v>90</x:v>
      </x:c>
    </x:row>
    <x:row r="6" ht="15" hidden="0" customHeight="1">
      <x:c r="A6" s="31" t="str">
        <x:v>B00 VAT paid PLN (reference only)</x:v>
      </x:c>
      <x:c r="B6" s="50" t="n">
        <x:v>11549</x:v>
      </x:c>
      <x:c r="C6" s="21"/>
      <x:c r="D6" s="21" t="str">
        <x:v>Total insurance USD</x:v>
      </x:c>
      <x:c r="E6" s="54" t="n">
        <x:f>SUM(Invoices!E2:E20)</x:f>
        <x:v>60</x:v>
      </x:c>
    </x:row>
    <x:row r="7" ht="15" hidden="0" customHeight="1">
      <x:c r="A7" s="31" t="str">
        <x:v>NBP USD rate</x:v>
      </x:c>
      <x:c r="B7" s="50" t="n">
        <x:v>3.6506</x:v>
      </x:c>
      <x:c r="C7" s="21"/>
      <x:c r="D7" s="21" t="str">
        <x:v>Total CIF USD</x:v>
      </x:c>
      <x:c r="E7" s="54" t="n">
        <x:f>SUM(Invoices!F2:F20)</x:f>
        <x:v>13270</x:v>
      </x:c>
    </x:row>
    <x:row r="8" ht="15" hidden="0" customHeight="1">
      <x:c r="A8" s="31" t="str">
        <x:v>MRN</x:v>
      </x:c>
      <x:c r="B8" s="21" t="str">
        <x:v>26PL44302D008N8OR0</x:v>
      </x:c>
      <x:c r="C8" s="21"/>
      <x:c r="D8" s="21" t="str">
        <x:v>Rows in output</x:v>
      </x:c>
      <x:c r="E8" s="21" t="n">
        <x:f>COUNTIF(Items!A2:A31,"&lt;&gt;")</x:f>
        <x:v>16</x:v>
      </x:c>
    </x:row>
    <x:row r="9" ht="15" hidden="0" customHeight="1">
      <x:c r="A9" s="31" t="str">
        <x:v>LRN</x:v>
      </x:c>
      <x:c r="B9" s="21" t="str">
        <x:v>26S00Q8O0S</x:v>
      </x:c>
      <x:c r="C9" s="21"/>
      <x:c r="D9" s="21" t="str">
        <x:v>Recipient</x:v>
      </x:c>
      <x:c r="E9" s="21" t="str">
        <x:v>ESTRELLA JEWELS Sp. z o. o. SPÓŁKA KOMANDYTOWA</x:v>
      </x:c>
    </x:row>
    <x:row r="10" ht="15" hidden="0" customHeight="1">
      <x:c r="A10" s="31" t="str">
        <x:v>Customs acceptance date</x:v>
      </x:c>
      <x:c r="B10" s="21" t="str">
        <x:v>15.04.2026</x:v>
      </x:c>
      <x:c r="C10" s="21"/>
      <x:c r="D10" s="21" t="str">
        <x:v>Supplier</x:v>
      </x:c>
      <x:c r="E10" s="21" t="str">
        <x:v>ESTRELLA JEWELS LLP.</x:v>
      </x:c>
    </x:row>
    <x:row r="11" ht="15" hidden="0" customHeight="1">
      <x:c r="A11" s="31" t="str">
        <x:v>Duty rate</x:v>
      </x:c>
      <x:c r="B11" s="21" t="n">
        <x:f>IFERROR(B5/B12,0)</x:f>
        <x:v>0.02528721006768674</x:v>
      </x:c>
      <x:c r="C11" s="21"/>
      <x:c r="D11" s="21"/>
      <x:c r="E11" s="21"/>
    </x:row>
    <x:row r="12" ht="15" hidden="0" customHeight="1">
      <x:c r="A12" s="31" t="str">
        <x:v>Total before duty PLN</x:v>
      </x:c>
      <x:c r="B12" s="52" t="n">
        <x:f>SUM(Items!N2:N31)</x:f>
        <x:v>48443.462</x:v>
      </x:c>
      <x:c r="C12" s="21"/>
      <x:c r="D12" s="21"/>
      <x:c r="E12" s="21"/>
    </x:row>
    <x:row r="13" ht="15" hidden="0" customHeight="1">
      <x:c r="A13" s="31" t="str">
        <x:v>Total net PLN</x:v>
      </x:c>
      <x:c r="B13" s="52" t="n">
        <x:f>SUM(Items!Q2:Q31)</x:f>
        <x:v>49668.46199999999</x:v>
      </x:c>
      <x:c r="C13" s="21"/>
      <x:c r="D13" s="21"/>
      <x:c r="E13" s="21"/>
    </x:row>
    <x:row r="14" ht="15" hidden="0" customHeight="1">
      <x:c r="A14" s="31" t="str">
        <x:v>Total gross PLN</x:v>
      </x:c>
      <x:c r="B14" s="52" t="n">
        <x:f>SUM(Items!S2:S31)</x:f>
        <x:v>61092.208259999985</x:v>
      </x:c>
      <x:c r="C14" s="21"/>
      <x:c r="D14" s="21"/>
      <x:c r="E14" s="21"/>
    </x:row>
    <x:row r="15" ht="15" hidden="0" customHeight="1">
      <x:c r="A15" s="31" t="str">
        <x:v>Invoice count</x:v>
      </x:c>
      <x:c r="B15" s="52" t="n">
        <x:v>6</x:v>
      </x:c>
      <x:c r="C15" s="21"/>
      <x:c r="D15" s="21"/>
      <x:c r="E15" s="21"/>
    </x:row>
    <x:row r="16" ht="15" hidden="0" customHeight="1">
      <x:c r="A16" s="31" t="str">
        <x:v>Output rows</x:v>
      </x:c>
      <x:c r="B16" s="21" t="n">
        <x:f>COUNTIF(Items!A2:A31,"&lt;&gt;")</x:f>
        <x:v>16</x:v>
      </x:c>
      <x:c r="C16" s="21"/>
      <x:c r="D16" s="21"/>
      <x:c r="E16" s="2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</x:cols>
  <x:sheetData>
    <x:row r="1" ht="15" hidden="0" customHeight="1">
      <x:c r="A1" s="44" t="str">
        <x:v>Invoice no</x:v>
      </x:c>
      <x:c r="B1" s="44" t="str">
        <x:v>Invoice date</x:v>
      </x:c>
      <x:c r="C1" s="44" t="str">
        <x:v>FOB USD</x:v>
      </x:c>
      <x:c r="D1" s="44" t="str">
        <x:v>Freight USD</x:v>
      </x:c>
      <x:c r="E1" s="44" t="str">
        <x:v>Insurance USD</x:v>
      </x:c>
      <x:c r="F1" s="44" t="str">
        <x:v>CIF USD</x:v>
      </x:c>
      <x:c r="G1" s="44" t="str">
        <x:v>Ship USD</x:v>
      </x:c>
    </x:row>
    <x:row r="2" ht="15" hidden="0" customHeight="1">
      <x:c r="A2" s="21" t="str">
        <x:v>EJL/26-27/039</x:v>
      </x:c>
      <x:c r="B2" s="21" t="str">
        <x:v>10-04-2026</x:v>
      </x:c>
      <x:c r="C2" s="54" t="n">
        <x:v>6353</x:v>
      </x:c>
      <x:c r="D2" s="54" t="n">
        <x:v>15</x:v>
      </x:c>
      <x:c r="E2" s="54" t="n">
        <x:v>10</x:v>
      </x:c>
      <x:c r="F2" s="54" t="n">
        <x:f>C2+D2+E2</x:f>
        <x:v>6378</x:v>
      </x:c>
      <x:c r="G2" s="54" t="n">
        <x:f>D2+E2</x:f>
        <x:v>25</x:v>
      </x:c>
    </x:row>
    <x:row r="3" ht="15" hidden="0" customHeight="1">
      <x:c r="A3" s="21" t="str">
        <x:v>EJL/26-27/040</x:v>
      </x:c>
      <x:c r="B3" s="21" t="str">
        <x:v>10-04-2026</x:v>
      </x:c>
      <x:c r="C3" s="54" t="n">
        <x:v>522</x:v>
      </x:c>
      <x:c r="D3" s="54" t="n">
        <x:v>15</x:v>
      </x:c>
      <x:c r="E3" s="54" t="n">
        <x:v>10</x:v>
      </x:c>
      <x:c r="F3" s="54" t="n">
        <x:f>C3+D3+E3</x:f>
        <x:v>547</x:v>
      </x:c>
      <x:c r="G3" s="54" t="n">
        <x:f>D3+E3</x:f>
        <x:v>25</x:v>
      </x:c>
    </x:row>
    <x:row r="4" ht="15" hidden="0" customHeight="1">
      <x:c r="A4" s="21" t="str">
        <x:v>EJL/26-27/041</x:v>
      </x:c>
      <x:c r="B4" s="21" t="str">
        <x:v>10-04-2026</x:v>
      </x:c>
      <x:c r="C4" s="54" t="n">
        <x:v>3643</x:v>
      </x:c>
      <x:c r="D4" s="54" t="n">
        <x:v>15</x:v>
      </x:c>
      <x:c r="E4" s="54" t="n">
        <x:v>10</x:v>
      </x:c>
      <x:c r="F4" s="54" t="n">
        <x:f>C4+D4+E4</x:f>
        <x:v>3668</x:v>
      </x:c>
      <x:c r="G4" s="54" t="n">
        <x:f>D4+E4</x:f>
        <x:v>25</x:v>
      </x:c>
    </x:row>
    <x:row r="5" ht="15" hidden="0" customHeight="1">
      <x:c r="A5" s="21" t="str">
        <x:v>EJL/26-27/042</x:v>
      </x:c>
      <x:c r="B5" s="21" t="str">
        <x:v>10-04-2026</x:v>
      </x:c>
      <x:c r="C5" s="54" t="n">
        <x:v>535</x:v>
      </x:c>
      <x:c r="D5" s="54" t="n">
        <x:v>15</x:v>
      </x:c>
      <x:c r="E5" s="54" t="n">
        <x:v>10</x:v>
      </x:c>
      <x:c r="F5" s="54" t="n">
        <x:f>C5+D5+E5</x:f>
        <x:v>560</x:v>
      </x:c>
      <x:c r="G5" s="54" t="n">
        <x:f>D5+E5</x:f>
        <x:v>25</x:v>
      </x:c>
    </x:row>
    <x:row r="6" ht="15" hidden="0" customHeight="1">
      <x:c r="A6" s="21" t="str">
        <x:v>EJL/26-27/043</x:v>
      </x:c>
      <x:c r="B6" s="21" t="str">
        <x:v>10-04-2026</x:v>
      </x:c>
      <x:c r="C6" s="54" t="n">
        <x:v>1536</x:v>
      </x:c>
      <x:c r="D6" s="54" t="n">
        <x:v>15</x:v>
      </x:c>
      <x:c r="E6" s="54" t="n">
        <x:v>10</x:v>
      </x:c>
      <x:c r="F6" s="54" t="n">
        <x:f>C6+D6+E6</x:f>
        <x:v>1561</x:v>
      </x:c>
      <x:c r="G6" s="54" t="n">
        <x:f>D6+E6</x:f>
        <x:v>25</x:v>
      </x:c>
    </x:row>
    <x:row r="7" ht="15" hidden="0" customHeight="1">
      <x:c r="A7" s="21" t="str">
        <x:v>EJL/26-27/044</x:v>
      </x:c>
      <x:c r="B7" s="21" t="str">
        <x:v>10-04-2026</x:v>
      </x:c>
      <x:c r="C7" s="54" t="n">
        <x:v>531</x:v>
      </x:c>
      <x:c r="D7" s="54" t="n">
        <x:v>15</x:v>
      </x:c>
      <x:c r="E7" s="54" t="n">
        <x:v>10</x:v>
      </x:c>
      <x:c r="F7" s="54" t="n">
        <x:f>C7+D7+E7</x:f>
        <x:v>556</x:v>
      </x:c>
      <x:c r="G7" s="54" t="n">
        <x:f>D7+E7</x:f>
        <x:v>25</x:v>
      </x:c>
    </x:row>
    <x:row r="8" ht="15" hidden="0" customHeight="1">
      <x:c r="A8" s="21"/>
      <x:c r="B8" s="21"/>
      <x:c r="C8" s="21"/>
      <x:c r="D8" s="21"/>
      <x:c r="E8" s="21"/>
      <x:c r="F8" s="21"/>
      <x:c r="G8" s="21"/>
    </x:row>
    <x:row r="9" ht="15" hidden="0" customHeight="1">
      <x:c r="A9" s="48" t="str">
        <x:v>Template notes</x:v>
      </x:c>
      <x:c r="B9" s="48" t="str"/>
      <x:c r="C9" s="48" t="str"/>
      <x:c r="D9" s="48" t="str"/>
      <x:c r="E9" s="48" t="str"/>
      <x:c r="F9" s="48" t="str"/>
      <x:c r="G9" s="48" t="str"/>
    </x:row>
    <x:row r="10" ht="15" hidden="0" customHeight="1">
      <x:c r="A10" s="21" t="str">
        <x:v>Keep invoice no exactly as on PDF body</x:v>
      </x:c>
      <x:c r="B10" s="21" t="str">
        <x:v>Date from PDF body, not filename</x:v>
      </x:c>
      <x:c r="C10" s="21" t="str"/>
      <x:c r="D10" s="21" t="str"/>
      <x:c r="E10" s="21" t="str"/>
      <x:c r="F10" s="21" t="str"/>
      <x:c r="G10" s="21" t="str"/>
    </x:row>
    <x:row r="11" ht="15" hidden="0" customHeight="1">
      <x:c r="A11" s="21" t="str">
        <x:v>Freight and insurance can stay 15 / 10 unless invoice says otherwise</x:v>
      </x:c>
      <x:c r="B11" s="21" t="str"/>
      <x:c r="C11" s="21" t="str"/>
      <x:c r="D11" s="21" t="str"/>
      <x:c r="E11" s="21" t="str"/>
      <x:c r="F11" s="21" t="str"/>
      <x:c r="G11" s="21" t="str"/>
    </x:row>
    <x:row r="12" ht="15" hidden="0" customHeight="1">
      <x:c r="A12" s="21" t="str">
        <x:v>Do not add customs duty here; duty belongs in Setup and Items formulas</x:v>
      </x:c>
      <x:c r="B12" s="21" t="str"/>
      <x:c r="C12" s="21" t="str"/>
      <x:c r="D12" s="21" t="str"/>
      <x:c r="E12" s="21" t="str"/>
      <x:c r="F12" s="21" t="str"/>
      <x:c r="G12" s="21" t="str"/>
    </x:row>
    <x:row r="13" ht="15" hidden="0" customHeight="1">
      <x:c r="A13" s="21" t="str">
        <x:v>CIF and Ship USD are formula columns</x:v>
      </x:c>
      <x:c r="B13" s="21" t="str"/>
      <x:c r="C13" s="21" t="str"/>
      <x:c r="D13" s="21" t="str"/>
      <x:c r="E13" s="21" t="str"/>
      <x:c r="F13" s="21" t="str"/>
      <x:c r="G13" s="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12" hidden="0" customWidth="1"/>
    <x:col min="5" max="5" width="42" hidden="0" customWidth="1"/>
    <x:col min="6" max="6" width="10" hidden="0" customWidth="1"/>
    <x:col min="7" max="7" width="8" hidden="0" customWidth="1"/>
    <x:col min="8" max="8" width="11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2" hidden="0" customWidth="1"/>
    <x:col min="15" max="15" width="10" hidden="0" customWidth="1"/>
    <x:col min="16" max="16" width="11" hidden="0" customWidth="1"/>
    <x:col min="17" max="17" width="12" hidden="0" customWidth="1"/>
    <x:col min="18" max="18" width="12" hidden="0" customWidth="1"/>
    <x:col min="19" max="19" width="12" hidden="0" customWidth="1"/>
    <x:col min="20" max="20" width="46" hidden="0" customWidth="1"/>
  </x:cols>
  <x:sheetData>
    <x:row r="1" ht="24.4140625" hidden="0" customHeight="1">
      <x:c r="A1" s="44" t="str">
        <x:v>Invoice no</x:v>
      </x:c>
      <x:c r="B1" s="44" t="str">
        <x:v>Invoice date</x:v>
      </x:c>
      <x:c r="C1" s="58" t="str">
        <x:v>English family</x:v>
      </x:c>
      <x:c r="D1" s="58" t="str">
        <x:v>Item type</x:v>
      </x:c>
      <x:c r="E1" s="58" t="str">
        <x:v>Polish description</x:v>
      </x:c>
      <x:c r="F1" s="58" t="str">
        <x:v>Unit</x:v>
      </x:c>
      <x:c r="G1" s="58" t="str">
        <x:v>Qty</x:v>
      </x:c>
      <x:c r="H1" s="58" t="str">
        <x:v>Item USD</x:v>
      </x:c>
      <x:c r="I1" s="58" t="str">
        <x:v>Invoice FOB USD</x:v>
      </x:c>
      <x:c r="J1" s="58" t="str">
        <x:v>Invoice Ship USD</x:v>
      </x:c>
      <x:c r="K1" s="58" t="str">
        <x:v>Alloc Ship USD</x:v>
      </x:c>
      <x:c r="L1" s="58" t="str">
        <x:v>USD rate</x:v>
      </x:c>
      <x:c r="M1" s="58" t="str">
        <x:v>Purchase PLN</x:v>
      </x:c>
      <x:c r="N1" s="58" t="str">
        <x:v>Before duty PLN</x:v>
      </x:c>
      <x:c r="O1" s="58" t="str">
        <x:v>Duty rate</x:v>
      </x:c>
      <x:c r="P1" s="58" t="str">
        <x:v>Duty PLN</x:v>
      </x:c>
      <x:c r="Q1" s="58" t="str">
        <x:v>Net value PLN</x:v>
      </x:c>
      <x:c r="R1" s="58" t="str">
        <x:v>Unit net PLN</x:v>
      </x:c>
      <x:c r="S1" s="58" t="str">
        <x:v>Gross PLN</x:v>
      </x:c>
      <x:c r="T1" s="58" t="str">
        <x:v>Final display name</x:v>
      </x:c>
    </x:row>
    <x:row r="2" ht="15" hidden="0" customHeight="1">
      <x:c r="A2" s="21" t="str">
        <x:v>EJL/26-27/039</x:v>
      </x:c>
      <x:c r="B2" s="21" t="str">
        <x:v>10-04-2026</x:v>
      </x:c>
      <x:c r="C2" s="21" t="str">
        <x:v>Diamond / Colour Stone Studded 14KT Gold Jewellery</x:v>
      </x:c>
      <x:c r="D2" s="21" t="str">
        <x:v>PENDANT</x:v>
      </x:c>
      <x:c r="E2" s="21" t="str">
        <x:v>WISIOREK Z 14-karatowego złota z diamentami i kamieniami</x:v>
      </x:c>
      <x:c r="F2" s="21" t="str">
        <x:v>szt.</x:v>
      </x:c>
      <x:c r="G2" s="54" t="n">
        <x:v>2</x:v>
      </x:c>
      <x:c r="H2" s="54" t="n">
        <x:v>427</x:v>
      </x:c>
      <x:c r="I2" s="54" t="n">
        <x:f>IF(A2="","",VLOOKUP(A2,Invoices!$A$2:$G$20,3,FALSE))</x:f>
        <x:v>6353</x:v>
      </x:c>
      <x:c r="J2" s="54" t="n">
        <x:f>IF(A2="","",VLOOKUP(A2,Invoices!$A$2:$G$20,7,FALSE))</x:f>
        <x:v>25</x:v>
      </x:c>
      <x:c r="K2" s="54" t="n">
        <x:f>IF(A2="","",H2/I2*J2)</x:f>
        <x:v>1.6803085156618922</x:v>
      </x:c>
      <x:c r="L2" s="54" t="n">
        <x:f>IF(A2="","",Setup!$B$7)</x:f>
        <x:v>3.6506</x:v>
      </x:c>
      <x:c r="M2" s="54" t="n">
        <x:f>IF(A2="","",H2*L2)</x:f>
        <x:v>1558.8062</x:v>
      </x:c>
      <x:c r="N2" s="54" t="n">
        <x:f>IF(A2="","",M2+K2*L2)</x:f>
        <x:v>1564.9403342672754</x:v>
      </x:c>
      <x:c r="O2" s="54" t="n">
        <x:f>IF(A2="","",Setup!$B$11)</x:f>
        <x:v>0.02528721006768674</x:v>
      </x:c>
      <x:c r="P2" s="54" t="n">
        <x:f>IF(A2="","",N2*O2)</x:f>
        <x:v>39.572974976012496</x:v>
      </x:c>
      <x:c r="Q2" s="54" t="n">
        <x:f>IF(A2="","",N2+P2)</x:f>
        <x:v>1604.513309243288</x:v>
      </x:c>
      <x:c r="R2" s="54" t="n">
        <x:f>IF(A2="","",Q2/G2)</x:f>
        <x:v>802.256654621644</x:v>
      </x:c>
      <x:c r="S2" s="54" t="n">
        <x:f>IF(A2="","",Q2*1.23)</x:f>
        <x:v>1973.551370369244</x:v>
      </x:c>
      <x:c r="T2" s="21" t="str">
        <x:f>IF(A2="","",C2&amp;" "&amp;D2&amp;" ("&amp;E2&amp;")")</x:f>
        <x:v>Diamond / Colour Stone Studded 14KT Gold Jewellery PENDANT (WISIOREK Z 14-karatowego złota z diamentami i kamieniami)</x:v>
      </x:c>
    </x:row>
    <x:row r="3" ht="15" hidden="0" customHeight="1">
      <x:c r="A3" s="21" t="str">
        <x:v>EJL/26-27/039</x:v>
      </x:c>
      <x:c r="B3" s="21" t="str">
        <x:v>10-04-2026</x:v>
      </x:c>
      <x:c r="C3" s="21" t="str">
        <x:v>Diamond Studded 14KT Gold Jewellery</x:v>
      </x:c>
      <x:c r="D3" s="21" t="str">
        <x:v>RING</x:v>
      </x:c>
      <x:c r="E3" s="21" t="str">
        <x:v>Pierścionek z 14-karatowego złota wysadzany diamentami</x:v>
      </x:c>
      <x:c r="F3" s="21" t="str">
        <x:v>szt.</x:v>
      </x:c>
      <x:c r="G3" s="54" t="n">
        <x:v>9</x:v>
      </x:c>
      <x:c r="H3" s="54" t="n">
        <x:v>4459</x:v>
      </x:c>
      <x:c r="I3" s="54" t="n">
        <x:f>IF(A3="","",VLOOKUP(A3,Invoices!$A$2:$G$20,3,FALSE))</x:f>
        <x:v>6353</x:v>
      </x:c>
      <x:c r="J3" s="54" t="n">
        <x:f>IF(A3="","",VLOOKUP(A3,Invoices!$A$2:$G$20,7,FALSE))</x:f>
        <x:v>25</x:v>
      </x:c>
      <x:c r="K3" s="54" t="n">
        <x:f>IF(A3="","",H3/I3*J3)</x:f>
        <x:v>17.546828270108612</x:v>
      </x:c>
      <x:c r="L3" s="54" t="n">
        <x:f>IF(A3="","",Setup!$B$7)</x:f>
        <x:v>3.6506</x:v>
      </x:c>
      <x:c r="M3" s="54" t="n">
        <x:f>IF(A3="","",H3*L3)</x:f>
        <x:v>16278.025399999999</x:v>
      </x:c>
      <x:c r="N3" s="54" t="n">
        <x:f>IF(A3="","",M3+K3*L3)</x:f>
        <x:v>16342.081851282857</x:v>
      </x:c>
      <x:c r="O3" s="54" t="n">
        <x:f>IF(A3="","",Setup!$B$11)</x:f>
        <x:v>0.02528721006768674</x:v>
      </x:c>
      <x:c r="P3" s="54" t="n">
        <x:f>IF(A3="","",N3*O3)</x:f>
        <x:v>413.2456567167206</x:v>
      </x:c>
      <x:c r="Q3" s="54" t="n">
        <x:f>IF(A3="","",N3+P3)</x:f>
        <x:v>16755.327507999576</x:v>
      </x:c>
      <x:c r="R3" s="54" t="n">
        <x:f>IF(A3="","",Q3/G3)</x:f>
        <x:v>1861.7030564443974</x:v>
      </x:c>
      <x:c r="S3" s="54" t="n">
        <x:f>IF(A3="","",Q3*1.23)</x:f>
        <x:v>20609.05283483948</x:v>
      </x:c>
      <x:c r="T3" s="21" t="str">
        <x:f>IF(A3="","",C3&amp;" "&amp;D3&amp;" ("&amp;E3&amp;")")</x:f>
        <x:v>Diamond Studded 14KT Gold Jewellery RING (Pierścionek z 14-karatowego złota wysadzany diamentami)</x:v>
      </x:c>
    </x:row>
    <x:row r="4" ht="15" hidden="0" customHeight="1">
      <x:c r="A4" s="21" t="str">
        <x:v>EJL/26-27/039</x:v>
      </x:c>
      <x:c r="B4" s="21" t="str">
        <x:v>10-04-2026</x:v>
      </x:c>
      <x:c r="C4" s="21" t="str">
        <x:v>Diamond / Colour Stone Studded 14KT Gold Jewellery</x:v>
      </x:c>
      <x:c r="D4" s="21" t="str">
        <x:v>EARRINGS</x:v>
      </x:c>
      <x:c r="E4" s="21" t="str">
        <x:v>Kolczyki z 14-karatowego złota z diamentami i kamieniami</x:v>
      </x:c>
      <x:c r="F4" s="21" t="str">
        <x:v>szt.</x:v>
      </x:c>
      <x:c r="G4" s="54" t="n">
        <x:v>1</x:v>
      </x:c>
      <x:c r="H4" s="54" t="n">
        <x:v>230</x:v>
      </x:c>
      <x:c r="I4" s="54" t="n">
        <x:f>IF(A4="","",VLOOKUP(A4,Invoices!$A$2:$G$20,3,FALSE))</x:f>
        <x:v>6353</x:v>
      </x:c>
      <x:c r="J4" s="54" t="n">
        <x:f>IF(A4="","",VLOOKUP(A4,Invoices!$A$2:$G$20,7,FALSE))</x:f>
        <x:v>25</x:v>
      </x:c>
      <x:c r="K4" s="54" t="n">
        <x:f>IF(A4="","",H4/I4*J4)</x:f>
        <x:v>0.9050842121832205</x:v>
      </x:c>
      <x:c r="L4" s="54" t="n">
        <x:f>IF(A4="","",Setup!$B$7)</x:f>
        <x:v>3.6506</x:v>
      </x:c>
      <x:c r="M4" s="54" t="n">
        <x:f>IF(A4="","",H4*L4)</x:f>
        <x:v>839.6379999999999</x:v>
      </x:c>
      <x:c r="N4" s="54" t="n">
        <x:f>IF(A4="","",M4+K4*L4)</x:f>
        <x:v>842.9421004249959</x:v>
      </x:c>
      <x:c r="O4" s="54" t="n">
        <x:f>IF(A4="","",Setup!$B$11)</x:f>
        <x:v>0.02528721006768674</x:v>
      </x:c>
      <x:c r="P4" s="54" t="n">
        <x:f>IF(A4="","",N4*O4)</x:f>
        <x:v>21.315653968343963</x:v>
      </x:c>
      <x:c r="Q4" s="54" t="n">
        <x:f>IF(A4="","",N4+P4)</x:f>
        <x:v>864.25775439334</x:v>
      </x:c>
      <x:c r="R4" s="54" t="n">
        <x:f>IF(A4="","",Q4/G4)</x:f>
        <x:v>864.25775439334</x:v>
      </x:c>
      <x:c r="S4" s="54" t="n">
        <x:f>IF(A4="","",Q4*1.23)</x:f>
        <x:v>1063.0370379038081</x:v>
      </x:c>
      <x:c r="T4" s="21" t="str">
        <x:f>IF(A4="","",C4&amp;" "&amp;D4&amp;" ("&amp;E4&amp;")")</x:f>
        <x:v>Diamond / Colour Stone Studded 14KT Gold Jewellery EARRINGS (Kolczyki z 14-karatowego złota z diamentami i kamieniami)</x:v>
      </x:c>
    </x:row>
    <x:row r="5" ht="15" hidden="0" customHeight="1">
      <x:c r="A5" s="21" t="str">
        <x:v>EJL/26-27/039</x:v>
      </x:c>
      <x:c r="B5" s="21" t="str">
        <x:v>10-04-2026</x:v>
      </x:c>
      <x:c r="C5" s="21" t="str">
        <x:v>Diamond Studded 14KT Gold Jewellery</x:v>
      </x:c>
      <x:c r="D5" s="21" t="str">
        <x:v>EARRINGS</x:v>
      </x:c>
      <x:c r="E5" s="21" t="str">
        <x:v>Kolczyki z 14-karatowego złota wysadzane diamentami</x:v>
      </x:c>
      <x:c r="F5" s="21" t="str">
        <x:v>szt.</x:v>
      </x:c>
      <x:c r="G5" s="54" t="n">
        <x:v>2</x:v>
      </x:c>
      <x:c r="H5" s="54" t="n">
        <x:v>1237</x:v>
      </x:c>
      <x:c r="I5" s="54" t="n">
        <x:f>IF(A5="","",VLOOKUP(A5,Invoices!$A$2:$G$20,3,FALSE))</x:f>
        <x:v>6353</x:v>
      </x:c>
      <x:c r="J5" s="54" t="n">
        <x:f>IF(A5="","",VLOOKUP(A5,Invoices!$A$2:$G$20,7,FALSE))</x:f>
        <x:v>25</x:v>
      </x:c>
      <x:c r="K5" s="54" t="n">
        <x:f>IF(A5="","",H5/I5*J5)</x:f>
        <x:v>4.8677790020462774</x:v>
      </x:c>
      <x:c r="L5" s="54" t="n">
        <x:f>IF(A5="","",Setup!$B$7)</x:f>
        <x:v>3.6506</x:v>
      </x:c>
      <x:c r="M5" s="54" t="n">
        <x:f>IF(A5="","",H5*L5)</x:f>
        <x:v>4515.7922</x:v>
      </x:c>
      <x:c r="N5" s="54" t="n">
        <x:f>IF(A5="","",M5+K5*L5)</x:f>
        <x:v>4533.56251402487</x:v>
      </x:c>
      <x:c r="O5" s="54" t="n">
        <x:f>IF(A5="","",Setup!$B$11)</x:f>
        <x:v>0.02528721006768674</x:v>
      </x:c>
      <x:c r="P5" s="54" t="n">
        <x:f>IF(A5="","",N5*O5)</x:f>
        <x:v>114.6411476471369</x:v>
      </x:c>
      <x:c r="Q5" s="54" t="n">
        <x:f>IF(A5="","",N5+P5)</x:f>
        <x:v>4648.203661672007</x:v>
      </x:c>
      <x:c r="R5" s="54" t="n">
        <x:f>IF(A5="","",Q5/G5)</x:f>
        <x:v>2324.1018308360035</x:v>
      </x:c>
      <x:c r="S5" s="54" t="n">
        <x:f>IF(A5="","",Q5*1.23)</x:f>
        <x:v>5717.290503856569</x:v>
      </x:c>
      <x:c r="T5" s="21" t="str">
        <x:f>IF(A5="","",C5&amp;" "&amp;D5&amp;" ("&amp;E5&amp;")")</x:f>
        <x:v>Diamond Studded 14KT Gold Jewellery EARRINGS (Kolczyki z 14-karatowego złota wysadzane diamentami)</x:v>
      </x:c>
    </x:row>
    <x:row r="6" ht="15" hidden="0" customHeight="1">
      <x:c r="A6" s="21" t="str">
        <x:v>EJL/26-27/040</x:v>
      </x:c>
      <x:c r="B6" s="21" t="str">
        <x:v>10-04-2026</x:v>
      </x:c>
      <x:c r="C6" s="21" t="str">
        <x:v>Plain 18KT Gold Jewellery</x:v>
      </x:c>
      <x:c r="D6" s="21" t="str">
        <x:v>RING</x:v>
      </x:c>
      <x:c r="E6" s="21" t="str">
        <x:v>Prosty pierścień z 18-karatowego złota</x:v>
      </x:c>
      <x:c r="F6" s="21" t="str">
        <x:v>szt.</x:v>
      </x:c>
      <x:c r="G6" s="54" t="n">
        <x:v>1</x:v>
      </x:c>
      <x:c r="H6" s="54" t="n">
        <x:v>238</x:v>
      </x:c>
      <x:c r="I6" s="54" t="n">
        <x:f>IF(A6="","",VLOOKUP(A6,Invoices!$A$2:$G$20,3,FALSE))</x:f>
        <x:v>522</x:v>
      </x:c>
      <x:c r="J6" s="54" t="n">
        <x:f>IF(A6="","",VLOOKUP(A6,Invoices!$A$2:$G$20,7,FALSE))</x:f>
        <x:v>25</x:v>
      </x:c>
      <x:c r="K6" s="54" t="n">
        <x:f>IF(A6="","",H6/I6*J6)</x:f>
        <x:v>11.398467432950191</x:v>
      </x:c>
      <x:c r="L6" s="54" t="n">
        <x:f>IF(A6="","",Setup!$B$7)</x:f>
        <x:v>3.6506</x:v>
      </x:c>
      <x:c r="M6" s="54" t="n">
        <x:f>IF(A6="","",H6*L6)</x:f>
        <x:v>868.8428</x:v>
      </x:c>
      <x:c r="N6" s="54" t="n">
        <x:f>IF(A6="","",M6+K6*L6)</x:f>
        <x:v>910.4540452107279</x:v>
      </x:c>
      <x:c r="O6" s="54" t="n">
        <x:f>IF(A6="","",Setup!$B$11)</x:f>
        <x:v>0.02528721006768674</x:v>
      </x:c>
      <x:c r="P6" s="54" t="n">
        <x:f>IF(A6="","",N6*O6)</x:f>
        <x:v>23.022842698218838</x:v>
      </x:c>
      <x:c r="Q6" s="54" t="n">
        <x:f>IF(A6="","",N6+P6)</x:f>
        <x:v>933.4768879089468</x:v>
      </x:c>
      <x:c r="R6" s="54" t="n">
        <x:f>IF(A6="","",Q6/G6)</x:f>
        <x:v>933.4768879089468</x:v>
      </x:c>
      <x:c r="S6" s="54" t="n">
        <x:f>IF(A6="","",Q6*1.23)</x:f>
        <x:v>1148.1765721280044</x:v>
      </x:c>
      <x:c r="T6" s="21" t="str">
        <x:f>IF(A6="","",C6&amp;" "&amp;D6&amp;" ("&amp;E6&amp;")")</x:f>
        <x:v>Plain 18KT Gold Jewellery RING (Prosty pierścień z 18-karatowego złota)</x:v>
      </x:c>
    </x:row>
    <x:row r="7" ht="15" hidden="0" customHeight="1">
      <x:c r="A7" s="21" t="str">
        <x:v>EJL/26-27/040</x:v>
      </x:c>
      <x:c r="B7" s="21" t="str">
        <x:v>10-04-2026</x:v>
      </x:c>
      <x:c r="C7" s="21" t="str">
        <x:v>Diamond Studded 14KT Gold Jewellery</x:v>
      </x:c>
      <x:c r="D7" s="21" t="str">
        <x:v>RING</x:v>
      </x:c>
      <x:c r="E7" s="21" t="str">
        <x:v>Pierścionek z 14-karatowego złota wysadzany diamentami</x:v>
      </x:c>
      <x:c r="F7" s="21" t="str">
        <x:v>szt.</x:v>
      </x:c>
      <x:c r="G7" s="54" t="n">
        <x:v>1</x:v>
      </x:c>
      <x:c r="H7" s="54" t="n">
        <x:v>284</x:v>
      </x:c>
      <x:c r="I7" s="54" t="n">
        <x:f>IF(A7="","",VLOOKUP(A7,Invoices!$A$2:$G$20,3,FALSE))</x:f>
        <x:v>522</x:v>
      </x:c>
      <x:c r="J7" s="54" t="n">
        <x:f>IF(A7="","",VLOOKUP(A7,Invoices!$A$2:$G$20,7,FALSE))</x:f>
        <x:v>25</x:v>
      </x:c>
      <x:c r="K7" s="54" t="n">
        <x:f>IF(A7="","",H7/I7*J7)</x:f>
        <x:v>13.601532567049809</x:v>
      </x:c>
      <x:c r="L7" s="54" t="n">
        <x:f>IF(A7="","",Setup!$B$7)</x:f>
        <x:v>3.6506</x:v>
      </x:c>
      <x:c r="M7" s="54" t="n">
        <x:f>IF(A7="","",H7*L7)</x:f>
        <x:v>1036.7703999999999</x:v>
      </x:c>
      <x:c r="N7" s="54" t="n">
        <x:f>IF(A7="","",M7+K7*L7)</x:f>
        <x:v>1086.4241547892718</x:v>
      </x:c>
      <x:c r="O7" s="54" t="n">
        <x:f>IF(A7="","",Setup!$B$11)</x:f>
        <x:v>0.02528721006768674</x:v>
      </x:c>
      <x:c r="P7" s="54" t="n">
        <x:f>IF(A7="","",N7*O7)</x:f>
        <x:v>27.47263582476533</x:v>
      </x:c>
      <x:c r="Q7" s="54" t="n">
        <x:f>IF(A7="","",N7+P7)</x:f>
        <x:v>1113.8967906140372</x:v>
      </x:c>
      <x:c r="R7" s="54" t="n">
        <x:f>IF(A7="","",Q7/G7)</x:f>
        <x:v>1113.8967906140372</x:v>
      </x:c>
      <x:c r="S7" s="54" t="n">
        <x:f>IF(A7="","",Q7*1.23)</x:f>
        <x:v>1370.0930524552657</x:v>
      </x:c>
      <x:c r="T7" s="21" t="str">
        <x:f>IF(A7="","",C7&amp;" "&amp;D7&amp;" ("&amp;E7&amp;")")</x:f>
        <x:v>Diamond Studded 14KT Gold Jewellery RING (Pierścionek z 14-karatowego złota wysadzany diamentami)</x:v>
      </x:c>
    </x:row>
    <x:row r="8" ht="15" hidden="0" customHeight="1">
      <x:c r="A8" s="21" t="str">
        <x:v>EJL/26-27/041</x:v>
      </x:c>
      <x:c r="B8" s="21" t="str">
        <x:v>10-04-2026</x:v>
      </x:c>
      <x:c r="C8" s="21" t="str">
        <x:v>Diamond / Colour Stone Studded 14KT Gold Jewellery</x:v>
      </x:c>
      <x:c r="D8" s="21" t="str">
        <x:v>PENDANT</x:v>
      </x:c>
      <x:c r="E8" s="21" t="str">
        <x:v>WISIOREK Z 14-karatowego złota z diamentami i kamieniami</x:v>
      </x:c>
      <x:c r="F8" s="21" t="str">
        <x:v>szt.</x:v>
      </x:c>
      <x:c r="G8" s="54" t="n">
        <x:v>1</x:v>
      </x:c>
      <x:c r="H8" s="54" t="n">
        <x:v>202</x:v>
      </x:c>
      <x:c r="I8" s="54" t="n">
        <x:f>IF(A8="","",VLOOKUP(A8,Invoices!$A$2:$G$20,3,FALSE))</x:f>
        <x:v>3643</x:v>
      </x:c>
      <x:c r="J8" s="54" t="n">
        <x:f>IF(A8="","",VLOOKUP(A8,Invoices!$A$2:$G$20,7,FALSE))</x:f>
        <x:v>25</x:v>
      </x:c>
      <x:c r="K8" s="54" t="n">
        <x:f>IF(A8="","",H8/I8*J8)</x:f>
        <x:v>1.3862201482294814</x:v>
      </x:c>
      <x:c r="L8" s="54" t="n">
        <x:f>IF(A8="","",Setup!$B$7)</x:f>
        <x:v>3.6506</x:v>
      </x:c>
      <x:c r="M8" s="54" t="n">
        <x:f>IF(A8="","",H8*L8)</x:f>
        <x:v>737.4212</x:v>
      </x:c>
      <x:c r="N8" s="54" t="n">
        <x:f>IF(A8="","",M8+K8*L8)</x:f>
        <x:v>742.4817352731266</x:v>
      </x:c>
      <x:c r="O8" s="54" t="n">
        <x:f>IF(A8="","",Setup!$B$11)</x:f>
        <x:v>0.02528721006768674</x:v>
      </x:c>
      <x:c r="P8" s="54" t="n">
        <x:f>IF(A8="","",N8*O8)</x:f>
        <x:v>18.775291611272127</x:v>
      </x:c>
      <x:c r="Q8" s="54" t="n">
        <x:f>IF(A8="","",N8+P8)</x:f>
        <x:v>761.2570268843987</x:v>
      </x:c>
      <x:c r="R8" s="54" t="n">
        <x:f>IF(A8="","",Q8/G8)</x:f>
        <x:v>761.2570268843987</x:v>
      </x:c>
      <x:c r="S8" s="54" t="n">
        <x:f>IF(A8="","",Q8*1.23)</x:f>
        <x:v>936.3461430678103</x:v>
      </x:c>
      <x:c r="T8" s="21" t="str">
        <x:f>IF(A8="","",C8&amp;" "&amp;D8&amp;" ("&amp;E8&amp;")")</x:f>
        <x:v>Diamond / Colour Stone Studded 14KT Gold Jewellery PENDANT (WISIOREK Z 14-karatowego złota z diamentami i kamieniami)</x:v>
      </x:c>
    </x:row>
    <x:row r="9" ht="15" hidden="0" customHeight="1">
      <x:c r="A9" s="21" t="str">
        <x:v>EJL/26-27/041</x:v>
      </x:c>
      <x:c r="B9" s="21" t="str">
        <x:v>10-04-2026</x:v>
      </x:c>
      <x:c r="C9" s="21" t="str">
        <x:v>Diamond / Colour Stone Studded 14KT Gold Jewellery</x:v>
      </x:c>
      <x:c r="D9" s="21" t="str">
        <x:v>RING</x:v>
      </x:c>
      <x:c r="E9" s="21" t="str">
        <x:v>Pierścionek z 14-karatowego złota z diamentami i kamieniami</x:v>
      </x:c>
      <x:c r="F9" s="21" t="str">
        <x:v>szt.</x:v>
      </x:c>
      <x:c r="G9" s="54" t="n">
        <x:v>2</x:v>
      </x:c>
      <x:c r="H9" s="54" t="n">
        <x:v>1854</x:v>
      </x:c>
      <x:c r="I9" s="54" t="n">
        <x:f>IF(A9="","",VLOOKUP(A9,Invoices!$A$2:$G$20,3,FALSE))</x:f>
        <x:v>3643</x:v>
      </x:c>
      <x:c r="J9" s="54" t="n">
        <x:f>IF(A9="","",VLOOKUP(A9,Invoices!$A$2:$G$20,7,FALSE))</x:f>
        <x:v>25</x:v>
      </x:c>
      <x:c r="K9" s="54" t="n">
        <x:f>IF(A9="","",H9/I9*J9)</x:f>
        <x:v>12.723030469393356</x:v>
      </x:c>
      <x:c r="L9" s="54" t="n">
        <x:f>IF(A9="","",Setup!$B$7)</x:f>
        <x:v>3.6506</x:v>
      </x:c>
      <x:c r="M9" s="54" t="n">
        <x:f>IF(A9="","",H9*L9)</x:f>
        <x:v>6768.212399999999</x:v>
      </x:c>
      <x:c r="N9" s="54" t="n">
        <x:f>IF(A9="","",M9+K9*L9)</x:f>
        <x:v>6814.659095031567</x:v>
      </x:c>
      <x:c r="O9" s="54" t="n">
        <x:f>IF(A9="","",Setup!$B$11)</x:f>
        <x:v>0.02528721006768674</x:v>
      </x:c>
      <x:c r="P9" s="54" t="n">
        <x:f>IF(A9="","",N9*O9)</x:f>
        <x:v>172.32371607573523</x:v>
      </x:c>
      <x:c r="Q9" s="54" t="n">
        <x:f>IF(A9="","",N9+P9)</x:f>
        <x:v>6986.982811107302</x:v>
      </x:c>
      <x:c r="R9" s="54" t="n">
        <x:f>IF(A9="","",Q9/G9)</x:f>
        <x:v>3493.491405553651</x:v>
      </x:c>
      <x:c r="S9" s="54" t="n">
        <x:f>IF(A9="","",Q9*1.23)</x:f>
        <x:v>8593.988857661981</x:v>
      </x:c>
      <x:c r="T9" s="21" t="str">
        <x:f>IF(A9="","",C9&amp;" "&amp;D9&amp;" ("&amp;E9&amp;")")</x:f>
        <x:v>Diamond / Colour Stone Studded 14KT Gold Jewellery RING (Pierścionek z 14-karatowego złota z diamentami i kamieniami)</x:v>
      </x:c>
    </x:row>
    <x:row r="10" ht="15" hidden="0" customHeight="1">
      <x:c r="A10" s="21" t="str">
        <x:v>EJL/26-27/041</x:v>
      </x:c>
      <x:c r="B10" s="21" t="str">
        <x:v>10-04-2026</x:v>
      </x:c>
      <x:c r="C10" s="21" t="str">
        <x:v>Diamond Studded 14KT Gold Jewellery</x:v>
      </x:c>
      <x:c r="D10" s="21" t="str">
        <x:v>EARRINGS</x:v>
      </x:c>
      <x:c r="E10" s="21" t="str">
        <x:v>Kolczyki z 14-karatowego złota wysadzane diamentami</x:v>
      </x:c>
      <x:c r="F10" s="21" t="str">
        <x:v>szt.</x:v>
      </x:c>
      <x:c r="G10" s="54" t="n">
        <x:v>1.5</x:v>
      </x:c>
      <x:c r="H10" s="54" t="n">
        <x:v>734</x:v>
      </x:c>
      <x:c r="I10" s="54" t="n">
        <x:f>IF(A10="","",VLOOKUP(A10,Invoices!$A$2:$G$20,3,FALSE))</x:f>
        <x:v>3643</x:v>
      </x:c>
      <x:c r="J10" s="54" t="n">
        <x:f>IF(A10="","",VLOOKUP(A10,Invoices!$A$2:$G$20,7,FALSE))</x:f>
        <x:v>25</x:v>
      </x:c>
      <x:c r="K10" s="54" t="n">
        <x:f>IF(A10="","",H10/I10*J10)</x:f>
        <x:v>5.0370573702992045</x:v>
      </x:c>
      <x:c r="L10" s="54" t="n">
        <x:f>IF(A10="","",Setup!$B$7)</x:f>
        <x:v>3.6506</x:v>
      </x:c>
      <x:c r="M10" s="54" t="n">
        <x:f>IF(A10="","",H10*L10)</x:f>
        <x:v>2679.5404</x:v>
      </x:c>
      <x:c r="N10" s="54" t="n">
        <x:f>IF(A10="","",M10+K10*L10)</x:f>
        <x:v>2697.928681636014</x:v>
      </x:c>
      <x:c r="O10" s="54" t="n">
        <x:f>IF(A10="","",Setup!$B$11)</x:f>
        <x:v>0.02528721006768674</x:v>
      </x:c>
      <x:c r="P10" s="54" t="n">
        <x:f>IF(A10="","",N10*O10)</x:f>
        <x:v>68.22308932016702</x:v>
      </x:c>
      <x:c r="Q10" s="54" t="n">
        <x:f>IF(A10="","",N10+P10)</x:f>
        <x:v>2766.1517709561813</x:v>
      </x:c>
      <x:c r="R10" s="54" t="n">
        <x:f>IF(A10="","",Q10/G10)</x:f>
        <x:v>1844.1011806374543</x:v>
      </x:c>
      <x:c r="S10" s="54" t="n">
        <x:f>IF(A10="","",Q10*1.23)</x:f>
        <x:v>3402.366678276103</x:v>
      </x:c>
      <x:c r="T10" s="21" t="str">
        <x:f>IF(A10="","",C10&amp;" "&amp;D10&amp;" ("&amp;E10&amp;")")</x:f>
        <x:v>Diamond Studded 14KT Gold Jewellery EARRINGS (Kolczyki z 14-karatowego złota wysadzane diamentami)</x:v>
      </x:c>
    </x:row>
    <x:row r="11" ht="15" hidden="0" customHeight="1">
      <x:c r="A11" s="21" t="str">
        <x:v>EJL/26-27/041</x:v>
      </x:c>
      <x:c r="B11" s="21" t="str">
        <x:v>10-04-2026</x:v>
      </x:c>
      <x:c r="C11" s="21" t="str">
        <x:v>Diamond / Colour Stone Studded 14KT Gold Jewellery</x:v>
      </x:c>
      <x:c r="D11" s="21" t="str">
        <x:v>EARRINGS</x:v>
      </x:c>
      <x:c r="E11" s="21" t="str">
        <x:v>Kolczyki z 14-karatowego złota z diamentami i kamieniami</x:v>
      </x:c>
      <x:c r="F11" s="21" t="str">
        <x:v>szt.</x:v>
      </x:c>
      <x:c r="G11" s="54" t="n">
        <x:v>1</x:v>
      </x:c>
      <x:c r="H11" s="54" t="n">
        <x:v>853</x:v>
      </x:c>
      <x:c r="I11" s="54" t="n">
        <x:f>IF(A11="","",VLOOKUP(A11,Invoices!$A$2:$G$20,3,FALSE))</x:f>
        <x:v>3643</x:v>
      </x:c>
      <x:c r="J11" s="54" t="n">
        <x:f>IF(A11="","",VLOOKUP(A11,Invoices!$A$2:$G$20,7,FALSE))</x:f>
        <x:v>25</x:v>
      </x:c>
      <x:c r="K11" s="54" t="n">
        <x:f>IF(A11="","",H11/I11*J11)</x:f>
        <x:v>5.853692012077958</x:v>
      </x:c>
      <x:c r="L11" s="54" t="n">
        <x:f>IF(A11="","",Setup!$B$7)</x:f>
        <x:v>3.6506</x:v>
      </x:c>
      <x:c r="M11" s="54" t="n">
        <x:f>IF(A11="","",H11*L11)</x:f>
        <x:v>3113.9618</x:v>
      </x:c>
      <x:c r="N11" s="54" t="n">
        <x:f>IF(A11="","",M11+K11*L11)</x:f>
        <x:v>3135.3312880592916</x:v>
      </x:c>
      <x:c r="O11" s="54" t="n">
        <x:f>IF(A11="","",Setup!$B$11)</x:f>
        <x:v>0.02528721006768674</x:v>
      </x:c>
      <x:c r="P11" s="54" t="n">
        <x:f>IF(A11="","",N11*O11)</x:f>
        <x:v>79.28378091294616</x:v>
      </x:c>
      <x:c r="Q11" s="54" t="n">
        <x:f>IF(A11="","",N11+P11)</x:f>
        <x:v>3214.6150689722376</x:v>
      </x:c>
      <x:c r="R11" s="54" t="n">
        <x:f>IF(A11="","",Q11/G11)</x:f>
        <x:v>3214.6150689722376</x:v>
      </x:c>
      <x:c r="S11" s="54" t="n">
        <x:f>IF(A11="","",Q11*1.23)</x:f>
        <x:v>3953.9765348358524</x:v>
      </x:c>
      <x:c r="T11" s="21" t="str">
        <x:f>IF(A11="","",C11&amp;" "&amp;D11&amp;" ("&amp;E11&amp;")")</x:f>
        <x:v>Diamond / Colour Stone Studded 14KT Gold Jewellery EARRINGS (Kolczyki z 14-karatowego złota z diamentami i kamieniami)</x:v>
      </x:c>
    </x:row>
    <x:row r="12" ht="15" hidden="0" customHeight="1">
      <x:c r="A12" s="21" t="str">
        <x:v>EJL/26-27/042</x:v>
      </x:c>
      <x:c r="B12" s="21" t="str">
        <x:v>10-04-2026</x:v>
      </x:c>
      <x:c r="C12" s="21" t="str">
        <x:v>Diamond Studded 14KT Gold Jewellery</x:v>
      </x:c>
      <x:c r="D12" s="21" t="str">
        <x:v>RING</x:v>
      </x:c>
      <x:c r="E12" s="21" t="str">
        <x:v>Pierścionek z 14-karatowego złota wysadzany diamentami</x:v>
      </x:c>
      <x:c r="F12" s="21" t="str">
        <x:v>szt.</x:v>
      </x:c>
      <x:c r="G12" s="54" t="n">
        <x:v>3</x:v>
      </x:c>
      <x:c r="H12" s="54" t="n">
        <x:v>535</x:v>
      </x:c>
      <x:c r="I12" s="54" t="n">
        <x:f>IF(A12="","",VLOOKUP(A12,Invoices!$A$2:$G$20,3,FALSE))</x:f>
        <x:v>535</x:v>
      </x:c>
      <x:c r="J12" s="54" t="n">
        <x:f>IF(A12="","",VLOOKUP(A12,Invoices!$A$2:$G$20,7,FALSE))</x:f>
        <x:v>25</x:v>
      </x:c>
      <x:c r="K12" s="54" t="n">
        <x:f>IF(A12="","",H12/I12*J12)</x:f>
        <x:v>25</x:v>
      </x:c>
      <x:c r="L12" s="54" t="n">
        <x:f>IF(A12="","",Setup!$B$7)</x:f>
        <x:v>3.6506</x:v>
      </x:c>
      <x:c r="M12" s="54" t="n">
        <x:f>IF(A12="","",H12*L12)</x:f>
        <x:v>1953.071</x:v>
      </x:c>
      <x:c r="N12" s="54" t="n">
        <x:f>IF(A12="","",M12+K12*L12)</x:f>
        <x:v>2044.336</x:v>
      </x:c>
      <x:c r="O12" s="54" t="n">
        <x:f>IF(A12="","",Setup!$B$11)</x:f>
        <x:v>0.02528721006768674</x:v>
      </x:c>
      <x:c r="P12" s="54" t="n">
        <x:f>IF(A12="","",N12*O12)</x:f>
        <x:v>51.69555388093444</x:v>
      </x:c>
      <x:c r="Q12" s="54" t="n">
        <x:f>IF(A12="","",N12+P12)</x:f>
        <x:v>2096.0315538809346</x:v>
      </x:c>
      <x:c r="R12" s="54" t="n">
        <x:f>IF(A12="","",Q12/G12)</x:f>
        <x:v>698.6771846269781</x:v>
      </x:c>
      <x:c r="S12" s="54" t="n">
        <x:f>IF(A12="","",Q12*1.23)</x:f>
        <x:v>2578.1188112735495</x:v>
      </x:c>
      <x:c r="T12" s="21" t="str">
        <x:f>IF(A12="","",C12&amp;" "&amp;D12&amp;" ("&amp;E12&amp;")")</x:f>
        <x:v>Diamond Studded 14KT Gold Jewellery RING (Pierścionek z 14-karatowego złota wysadzany diamentami)</x:v>
      </x:c>
    </x:row>
    <x:row r="13" ht="15" hidden="0" customHeight="1">
      <x:c r="A13" s="21" t="str">
        <x:v>EJL/26-27/043</x:v>
      </x:c>
      <x:c r="B13" s="21" t="str">
        <x:v>10-04-2026</x:v>
      </x:c>
      <x:c r="C13" s="21" t="str">
        <x:v>Lab Grown Diamond 18KT Gold Jewellery</x:v>
      </x:c>
      <x:c r="D13" s="21" t="str">
        <x:v>BRACELET</x:v>
      </x:c>
      <x:c r="E13" s="21" t="str">
        <x:v>Bransoletka z diamentami hodowanymi laboratoryjnie, wykonana ze złota próby 18 KT</x:v>
      </x:c>
      <x:c r="F13" s="21" t="str">
        <x:v>szt.</x:v>
      </x:c>
      <x:c r="G13" s="54" t="n">
        <x:v>1</x:v>
      </x:c>
      <x:c r="H13" s="54" t="n">
        <x:v>1435</x:v>
      </x:c>
      <x:c r="I13" s="54" t="n">
        <x:f>IF(A13="","",VLOOKUP(A13,Invoices!$A$2:$G$20,3,FALSE))</x:f>
        <x:v>1536</x:v>
      </x:c>
      <x:c r="J13" s="54" t="n">
        <x:f>IF(A13="","",VLOOKUP(A13,Invoices!$A$2:$G$20,7,FALSE))</x:f>
        <x:v>25</x:v>
      </x:c>
      <x:c r="K13" s="54" t="n">
        <x:f>IF(A13="","",H13/I13*J13)</x:f>
        <x:v>23.356119791666664</x:v>
      </x:c>
      <x:c r="L13" s="54" t="n">
        <x:f>IF(A13="","",Setup!$B$7)</x:f>
        <x:v>3.6506</x:v>
      </x:c>
      <x:c r="M13" s="54" t="n">
        <x:f>IF(A13="","",H13*L13)</x:f>
        <x:v>5238.611</x:v>
      </x:c>
      <x:c r="N13" s="54" t="n">
        <x:f>IF(A13="","",M13+K13*L13)</x:f>
        <x:v>5323.874850911458</x:v>
      </x:c>
      <x:c r="O13" s="54" t="n">
        <x:f>IF(A13="","",Setup!$B$11)</x:f>
        <x:v>0.02528721006768674</x:v>
      </x:c>
      <x:c r="P13" s="54" t="n">
        <x:f>IF(A13="","",N13*O13)</x:f>
        <x:v>134.62594172907248</x:v>
      </x:c>
      <x:c r="Q13" s="54" t="n">
        <x:f>IF(A13="","",N13+P13)</x:f>
        <x:v>5458.500792640531</x:v>
      </x:c>
      <x:c r="R13" s="54" t="n">
        <x:f>IF(A13="","",Q13/G13)</x:f>
        <x:v>5458.500792640531</x:v>
      </x:c>
      <x:c r="S13" s="54" t="n">
        <x:f>IF(A13="","",Q13*1.23)</x:f>
        <x:v>6713.955974947852</x:v>
      </x:c>
      <x:c r="T13" s="21" t="str">
        <x:f>IF(A13="","",C13&amp;" "&amp;D13&amp;" ("&amp;E13&amp;")")</x:f>
        <x:v>Lab Grown Diamond 18KT Gold Jewellery BRACELET (Bransoletka z diamentami hodowanymi laboratoryjnie, wykonana ze złota próby 18 KT)</x:v>
      </x:c>
    </x:row>
    <x:row r="14" ht="15" hidden="0" customHeight="1">
      <x:c r="A14" s="21" t="str">
        <x:v>EJL/26-27/043</x:v>
      </x:c>
      <x:c r="B14" s="21" t="str">
        <x:v>10-04-2026</x:v>
      </x:c>
      <x:c r="C14" s="21" t="str">
        <x:v>Plain 14KT Gold Jewellery</x:v>
      </x:c>
      <x:c r="D14" s="21" t="str">
        <x:v>PENDANT</x:v>
      </x:c>
      <x:c r="E14" s="21" t="str">
        <x:v>WISIOREK Z 14-karatowego złota</x:v>
      </x:c>
      <x:c r="F14" s="21" t="str">
        <x:v>szt.</x:v>
      </x:c>
      <x:c r="G14" s="54" t="n">
        <x:v>1</x:v>
      </x:c>
      <x:c r="H14" s="54" t="n">
        <x:v>96</x:v>
      </x:c>
      <x:c r="I14" s="54" t="n">
        <x:f>IF(A14="","",VLOOKUP(A14,Invoices!$A$2:$G$20,3,FALSE))</x:f>
        <x:v>1536</x:v>
      </x:c>
      <x:c r="J14" s="54" t="n">
        <x:f>IF(A14="","",VLOOKUP(A14,Invoices!$A$2:$G$20,7,FALSE))</x:f>
        <x:v>25</x:v>
      </x:c>
      <x:c r="K14" s="54" t="n">
        <x:f>IF(A14="","",H14/I14*J14)</x:f>
        <x:v>1.5625</x:v>
      </x:c>
      <x:c r="L14" s="54" t="n">
        <x:f>IF(A14="","",Setup!$B$7)</x:f>
        <x:v>3.6506</x:v>
      </x:c>
      <x:c r="M14" s="54" t="n">
        <x:f>IF(A14="","",H14*L14)</x:f>
        <x:v>350.45759999999996</x:v>
      </x:c>
      <x:c r="N14" s="54" t="n">
        <x:f>IF(A14="","",M14+K14*L14)</x:f>
        <x:v>356.1616625</x:v>
      </x:c>
      <x:c r="O14" s="54" t="n">
        <x:f>IF(A14="","",Setup!$B$11)</x:f>
        <x:v>0.02528721006768674</x:v>
      </x:c>
      <x:c r="P14" s="54" t="n">
        <x:f>IF(A14="","",N14*O14)</x:f>
        <x:v>9.006334777694047</x:v>
      </x:c>
      <x:c r="Q14" s="54" t="n">
        <x:f>IF(A14="","",N14+P14)</x:f>
        <x:v>365.16799727769404</x:v>
      </x:c>
      <x:c r="R14" s="54" t="n">
        <x:f>IF(A14="","",Q14/G14)</x:f>
        <x:v>365.16799727769404</x:v>
      </x:c>
      <x:c r="S14" s="54" t="n">
        <x:f>IF(A14="","",Q14*1.23)</x:f>
        <x:v>449.15663665156364</x:v>
      </x:c>
      <x:c r="T14" s="21" t="str">
        <x:f>IF(A14="","",C14&amp;" "&amp;D14&amp;" ("&amp;E14&amp;")")</x:f>
        <x:v>Plain 14KT Gold Jewellery PENDANT (WISIOREK Z 14-karatowego złota)</x:v>
      </x:c>
    </x:row>
    <x:row r="15" ht="15" hidden="0" customHeight="1">
      <x:c r="A15" s="21" t="str">
        <x:v>EJL/26-27/043</x:v>
      </x:c>
      <x:c r="B15" s="21" t="str">
        <x:v>10-04-2026</x:v>
      </x:c>
      <x:c r="C15" s="21" t="str">
        <x:v>Silver Plain Jewellery 925</x:v>
      </x:c>
      <x:c r="D15" s="21" t="str">
        <x:v>PENDANT</x:v>
      </x:c>
      <x:c r="E15" s="21" t="str">
        <x:v>WISIOREK SREBRNY PRÓBY 925</x:v>
      </x:c>
      <x:c r="F15" s="21" t="str">
        <x:v>szt.</x:v>
      </x:c>
      <x:c r="G15" s="54" t="n">
        <x:v>1</x:v>
      </x:c>
      <x:c r="H15" s="54" t="n">
        <x:v>5</x:v>
      </x:c>
      <x:c r="I15" s="54" t="n">
        <x:f>IF(A15="","",VLOOKUP(A15,Invoices!$A$2:$G$20,3,FALSE))</x:f>
        <x:v>1536</x:v>
      </x:c>
      <x:c r="J15" s="54" t="n">
        <x:f>IF(A15="","",VLOOKUP(A15,Invoices!$A$2:$G$20,7,FALSE))</x:f>
        <x:v>25</x:v>
      </x:c>
      <x:c r="K15" s="54" t="n">
        <x:f>IF(A15="","",H15/I15*J15)</x:f>
        <x:v>0.08138020833333334</x:v>
      </x:c>
      <x:c r="L15" s="54" t="n">
        <x:f>IF(A15="","",Setup!$B$7)</x:f>
        <x:v>3.6506</x:v>
      </x:c>
      <x:c r="M15" s="54" t="n">
        <x:f>IF(A15="","",H15*L15)</x:f>
        <x:v>18.253</x:v>
      </x:c>
      <x:c r="N15" s="54" t="n">
        <x:f>IF(A15="","",M15+K15*L15)</x:f>
        <x:v>18.550086588541667</x:v>
      </x:c>
      <x:c r="O15" s="54" t="n">
        <x:f>IF(A15="","",Setup!$B$11)</x:f>
        <x:v>0.02528721006768674</x:v>
      </x:c>
      <x:c r="P15" s="54" t="n">
        <x:f>IF(A15="","",N15*O15)</x:f>
        <x:v>0.4690799363382316</x:v>
      </x:c>
      <x:c r="Q15" s="54" t="n">
        <x:f>IF(A15="","",N15+P15)</x:f>
        <x:v>19.0191665248799</x:v>
      </x:c>
      <x:c r="R15" s="54" t="n">
        <x:f>IF(A15="","",Q15/G15)</x:f>
        <x:v>19.0191665248799</x:v>
      </x:c>
      <x:c r="S15" s="54" t="n">
        <x:f>IF(A15="","",Q15*1.23)</x:f>
        <x:v>23.393574825602276</x:v>
      </x:c>
      <x:c r="T15" s="21" t="str">
        <x:f>IF(A15="","",C15&amp;" "&amp;D15&amp;" ("&amp;E15&amp;")")</x:f>
        <x:v>Silver Plain Jewellery 925 PENDANT (WISIOREK SREBRNY PRÓBY 925)</x:v>
      </x:c>
    </x:row>
    <x:row r="16" ht="15" hidden="0" customHeight="1">
      <x:c r="A16" s="21" t="str">
        <x:v>EJL/26-27/044</x:v>
      </x:c>
      <x:c r="B16" s="21" t="str">
        <x:v>10-04-2026</x:v>
      </x:c>
      <x:c r="C16" s="21" t="str">
        <x:v>Lab Grown Diamond 14KT Gold Jewellery</x:v>
      </x:c>
      <x:c r="D16" s="21" t="str">
        <x:v>RING</x:v>
      </x:c>
      <x:c r="E16" s="21" t="str">
        <x:v>Pierścionek z diamentem hodowanym laboratoryjnie, wykonany ze złota próby 14 KT</x:v>
      </x:c>
      <x:c r="F16" s="21" t="str">
        <x:v>szt.</x:v>
      </x:c>
      <x:c r="G16" s="54" t="n">
        <x:v>1</x:v>
      </x:c>
      <x:c r="H16" s="54" t="n">
        <x:v>312</x:v>
      </x:c>
      <x:c r="I16" s="54" t="n">
        <x:f>IF(A16="","",VLOOKUP(A16,Invoices!$A$2:$G$20,3,FALSE))</x:f>
        <x:v>531</x:v>
      </x:c>
      <x:c r="J16" s="54" t="n">
        <x:f>IF(A16="","",VLOOKUP(A16,Invoices!$A$2:$G$20,7,FALSE))</x:f>
        <x:v>25</x:v>
      </x:c>
      <x:c r="K16" s="54" t="n">
        <x:f>IF(A16="","",H16/I16*J16)</x:f>
        <x:v>14.689265536723164</x:v>
      </x:c>
      <x:c r="L16" s="54" t="n">
        <x:f>IF(A16="","",Setup!$B$7)</x:f>
        <x:v>3.6506</x:v>
      </x:c>
      <x:c r="M16" s="54" t="n">
        <x:f>IF(A16="","",H16*L16)</x:f>
        <x:v>1138.9872</x:v>
      </x:c>
      <x:c r="N16" s="54" t="n">
        <x:f>IF(A16="","",M16+K16*L16)</x:f>
        <x:v>1192.6118327683616</x:v>
      </x:c>
      <x:c r="O16" s="54" t="n">
        <x:f>IF(A16="","",Setup!$B$11)</x:f>
        <x:v>0.02528721006768674</x:v>
      </x:c>
      <x:c r="P16" s="54" t="n">
        <x:f>IF(A16="","",N16*O16)</x:f>
        <x:v>30.15782594442245</x:v>
      </x:c>
      <x:c r="Q16" s="54" t="n">
        <x:f>IF(A16="","",N16+P16)</x:f>
        <x:v>1222.7696587127841</x:v>
      </x:c>
      <x:c r="R16" s="54" t="n">
        <x:f>IF(A16="","",Q16/G16)</x:f>
        <x:v>1222.7696587127841</x:v>
      </x:c>
      <x:c r="S16" s="54" t="n">
        <x:f>IF(A16="","",Q16*1.23)</x:f>
        <x:v>1504.0066802167244</x:v>
      </x:c>
      <x:c r="T16" s="21" t="str">
        <x:f>IF(A16="","",C16&amp;" "&amp;D16&amp;" ("&amp;E16&amp;")")</x:f>
        <x:v>Lab Grown Diamond 14KT Gold Jewellery RING (Pierścionek z diamentem hodowanym laboratoryjnie, wykonany ze złota próby 14 KT)</x:v>
      </x:c>
    </x:row>
    <x:row r="17" ht="15" hidden="0" customHeight="1">
      <x:c r="A17" s="21" t="str">
        <x:v>EJL/26-27/044</x:v>
      </x:c>
      <x:c r="B17" s="21" t="str">
        <x:v>10-04-2026</x:v>
      </x:c>
      <x:c r="C17" s="21" t="str">
        <x:v>Plain 14KT Gold Jewellery</x:v>
      </x:c>
      <x:c r="D17" s="21" t="str">
        <x:v>RING</x:v>
      </x:c>
      <x:c r="E17" s="21" t="str">
        <x:v>Prosty pierścień z 14-karatowego złota</x:v>
      </x:c>
      <x:c r="F17" s="21" t="str">
        <x:v>szt.</x:v>
      </x:c>
      <x:c r="G17" s="54" t="n">
        <x:v>1</x:v>
      </x:c>
      <x:c r="H17" s="54" t="n">
        <x:v>219</x:v>
      </x:c>
      <x:c r="I17" s="54" t="n">
        <x:f>IF(A17="","",VLOOKUP(A17,Invoices!$A$2:$G$20,3,FALSE))</x:f>
        <x:v>531</x:v>
      </x:c>
      <x:c r="J17" s="54" t="n">
        <x:f>IF(A17="","",VLOOKUP(A17,Invoices!$A$2:$G$20,7,FALSE))</x:f>
        <x:v>25</x:v>
      </x:c>
      <x:c r="K17" s="54" t="n">
        <x:f>IF(A17="","",H17/I17*J17)</x:f>
        <x:v>10.310734463276836</x:v>
      </x:c>
      <x:c r="L17" s="54" t="n">
        <x:f>IF(A17="","",Setup!$B$7)</x:f>
        <x:v>3.6506</x:v>
      </x:c>
      <x:c r="M17" s="54" t="n">
        <x:f>IF(A17="","",H17*L17)</x:f>
        <x:v>799.4814</x:v>
      </x:c>
      <x:c r="N17" s="54" t="n">
        <x:f>IF(A17="","",M17+K17*L17)</x:f>
        <x:v>837.1217672316384</x:v>
      </x:c>
      <x:c r="O17" s="54" t="n">
        <x:f>IF(A17="","",Setup!$B$11)</x:f>
        <x:v>0.02528721006768674</x:v>
      </x:c>
      <x:c r="P17" s="54" t="n">
        <x:f>IF(A17="","",N17*O17)</x:f>
        <x:v>21.168473980219602</x:v>
      </x:c>
      <x:c r="Q17" s="54" t="n">
        <x:f>IF(A17="","",N17+P17)</x:f>
        <x:v>858.290241211858</x:v>
      </x:c>
      <x:c r="R17" s="54" t="n">
        <x:f>IF(A17="","",Q17/G17)</x:f>
        <x:v>858.290241211858</x:v>
      </x:c>
      <x:c r="S17" s="54" t="n">
        <x:f>IF(A17="","",Q17*1.23)</x:f>
        <x:v>1055.6969966905854</x:v>
      </x:c>
      <x:c r="T17" s="21" t="str">
        <x:f>IF(A17="","",C17&amp;" "&amp;D17&amp;" ("&amp;E17&amp;")")</x:f>
        <x:v>Plain 14KT Gold Jewellery RING (Prosty pierścień z 14-karatowego złota)</x:v>
      </x:c>
    </x:row>
    <x:row r="18" ht="15" hidden="0" customHeight="1">
      <x:c r="A18" s="21"/>
      <x:c r="B18" s="21"/>
      <x:c r="C18" s="21"/>
      <x:c r="D18" s="21"/>
      <x:c r="E18" s="21"/>
      <x:c r="F18" s="21"/>
      <x:c r="G18" s="54"/>
      <x:c r="H18" s="54"/>
      <x:c r="I18" s="54" t="str">
        <x:f>IF(A18="","",VLOOKUP(A18,Invoices!$A$2:$G$20,3,FALSE))</x:f>
      </x:c>
      <x:c r="J18" s="54" t="str">
        <x:f>IF(A18="","",VLOOKUP(A18,Invoices!$A$2:$G$20,7,FALSE))</x:f>
      </x:c>
      <x:c r="K18" s="54" t="str">
        <x:f>IF(A18="","",H18/I18*J18)</x:f>
      </x:c>
      <x:c r="L18" s="54" t="str">
        <x:f>IF(A18="","",Setup!$B$7)</x:f>
      </x:c>
      <x:c r="M18" s="54" t="str">
        <x:f>IF(A18="","",H18*L18)</x:f>
      </x:c>
      <x:c r="N18" s="54" t="str">
        <x:f>IF(A18="","",M18+K18*L18)</x:f>
      </x:c>
      <x:c r="O18" s="54" t="str">
        <x:f>IF(A18="","",Setup!$B$11)</x:f>
      </x:c>
      <x:c r="P18" s="54" t="str">
        <x:f>IF(A18="","",N18*O18)</x:f>
      </x:c>
      <x:c r="Q18" s="54" t="str">
        <x:f>IF(A18="","",N18+P18)</x:f>
      </x:c>
      <x:c r="R18" s="54" t="str">
        <x:f>IF(A18="","",Q18/G18)</x:f>
      </x:c>
      <x:c r="S18" s="54" t="str">
        <x:f>IF(A18="","",Q18*1.23)</x:f>
      </x:c>
      <x:c r="T18" s="21" t="str">
        <x:f>IF(A18="","",C18&amp;" "&amp;D18&amp;" ("&amp;E18&amp;")")</x:f>
      </x:c>
    </x:row>
    <x:row r="19" ht="15" hidden="0" customHeight="1">
      <x:c r="A19" s="21"/>
      <x:c r="B19" s="21"/>
      <x:c r="C19" s="21"/>
      <x:c r="D19" s="21"/>
      <x:c r="E19" s="21"/>
      <x:c r="F19" s="21"/>
      <x:c r="G19" s="54"/>
      <x:c r="H19" s="54"/>
      <x:c r="I19" s="54" t="str">
        <x:f>IF(A19="","",VLOOKUP(A19,Invoices!$A$2:$G$20,3,FALSE))</x:f>
      </x:c>
      <x:c r="J19" s="54" t="str">
        <x:f>IF(A19="","",VLOOKUP(A19,Invoices!$A$2:$G$20,7,FALSE))</x:f>
      </x:c>
      <x:c r="K19" s="54" t="str">
        <x:f>IF(A19="","",H19/I19*J19)</x:f>
      </x:c>
      <x:c r="L19" s="54" t="str">
        <x:f>IF(A19="","",Setup!$B$7)</x:f>
      </x:c>
      <x:c r="M19" s="54" t="str">
        <x:f>IF(A19="","",H19*L19)</x:f>
      </x:c>
      <x:c r="N19" s="54" t="str">
        <x:f>IF(A19="","",M19+K19*L19)</x:f>
      </x:c>
      <x:c r="O19" s="54" t="str">
        <x:f>IF(A19="","",Setup!$B$11)</x:f>
      </x:c>
      <x:c r="P19" s="54" t="str">
        <x:f>IF(A19="","",N19*O19)</x:f>
      </x:c>
      <x:c r="Q19" s="54" t="str">
        <x:f>IF(A19="","",N19+P19)</x:f>
      </x:c>
      <x:c r="R19" s="54" t="str">
        <x:f>IF(A19="","",Q19/G19)</x:f>
      </x:c>
      <x:c r="S19" s="54" t="str">
        <x:f>IF(A19="","",Q19*1.23)</x:f>
      </x:c>
      <x:c r="T19" s="21" t="str">
        <x:f>IF(A19="","",C19&amp;" "&amp;D19&amp;" ("&amp;E19&amp;")")</x:f>
      </x:c>
    </x:row>
    <x:row r="20" ht="15" hidden="0" customHeight="1">
      <x:c r="A20" s="21"/>
      <x:c r="B20" s="21"/>
      <x:c r="C20" s="21"/>
      <x:c r="D20" s="21"/>
      <x:c r="E20" s="21"/>
      <x:c r="F20" s="21"/>
      <x:c r="G20" s="54"/>
      <x:c r="H20" s="54"/>
      <x:c r="I20" s="54" t="str">
        <x:f>IF(A20="","",VLOOKUP(A20,Invoices!$A$2:$G$20,3,FALSE))</x:f>
      </x:c>
      <x:c r="J20" s="54" t="str">
        <x:f>IF(A20="","",VLOOKUP(A20,Invoices!$A$2:$G$20,7,FALSE))</x:f>
      </x:c>
      <x:c r="K20" s="54" t="str">
        <x:f>IF(A20="","",H20/I20*J20)</x:f>
      </x:c>
      <x:c r="L20" s="54" t="str">
        <x:f>IF(A20="","",Setup!$B$7)</x:f>
      </x:c>
      <x:c r="M20" s="54" t="str">
        <x:f>IF(A20="","",H20*L20)</x:f>
      </x:c>
      <x:c r="N20" s="54" t="str">
        <x:f>IF(A20="","",M20+K20*L20)</x:f>
      </x:c>
      <x:c r="O20" s="54" t="str">
        <x:f>IF(A20="","",Setup!$B$11)</x:f>
      </x:c>
      <x:c r="P20" s="54" t="str">
        <x:f>IF(A20="","",N20*O20)</x:f>
      </x:c>
      <x:c r="Q20" s="54" t="str">
        <x:f>IF(A20="","",N20+P20)</x:f>
      </x:c>
      <x:c r="R20" s="54" t="str">
        <x:f>IF(A20="","",Q20/G20)</x:f>
      </x:c>
      <x:c r="S20" s="54" t="str">
        <x:f>IF(A20="","",Q20*1.23)</x:f>
      </x:c>
      <x:c r="T20" s="21" t="str">
        <x:f>IF(A20="","",C20&amp;" "&amp;D20&amp;" ("&amp;E20&amp;")")</x:f>
      </x:c>
    </x:row>
    <x:row r="21" ht="15" hidden="0" customHeight="1">
      <x:c r="A21" s="21"/>
      <x:c r="B21" s="21"/>
      <x:c r="C21" s="21"/>
      <x:c r="D21" s="21"/>
      <x:c r="E21" s="21"/>
      <x:c r="F21" s="21"/>
      <x:c r="G21" s="54"/>
      <x:c r="H21" s="54"/>
      <x:c r="I21" s="54" t="str">
        <x:f>IF(A21="","",VLOOKUP(A21,Invoices!$A$2:$G$20,3,FALSE))</x:f>
      </x:c>
      <x:c r="J21" s="54" t="str">
        <x:f>IF(A21="","",VLOOKUP(A21,Invoices!$A$2:$G$20,7,FALSE))</x:f>
      </x:c>
      <x:c r="K21" s="54" t="str">
        <x:f>IF(A21="","",H21/I21*J21)</x:f>
      </x:c>
      <x:c r="L21" s="54" t="str">
        <x:f>IF(A21="","",Setup!$B$7)</x:f>
      </x:c>
      <x:c r="M21" s="54" t="str">
        <x:f>IF(A21="","",H21*L21)</x:f>
      </x:c>
      <x:c r="N21" s="54" t="str">
        <x:f>IF(A21="","",M21+K21*L21)</x:f>
      </x:c>
      <x:c r="O21" s="54" t="str">
        <x:f>IF(A21="","",Setup!$B$11)</x:f>
      </x:c>
      <x:c r="P21" s="54" t="str">
        <x:f>IF(A21="","",N21*O21)</x:f>
      </x:c>
      <x:c r="Q21" s="54" t="str">
        <x:f>IF(A21="","",N21+P21)</x:f>
      </x:c>
      <x:c r="R21" s="54" t="str">
        <x:f>IF(A21="","",Q21/G21)</x:f>
      </x:c>
      <x:c r="S21" s="54" t="str">
        <x:f>IF(A21="","",Q21*1.23)</x:f>
      </x:c>
      <x:c r="T21" s="21" t="str">
        <x:f>IF(A21="","",C21&amp;" "&amp;D21&amp;" ("&amp;E21&amp;")")</x:f>
      </x:c>
    </x:row>
    <x:row r="22" ht="15" hidden="0" customHeight="1">
      <x:c r="A22" s="21"/>
      <x:c r="B22" s="21"/>
      <x:c r="C22" s="21"/>
      <x:c r="D22" s="21"/>
      <x:c r="E22" s="21"/>
      <x:c r="F22" s="21"/>
      <x:c r="G22" s="54"/>
      <x:c r="H22" s="54"/>
      <x:c r="I22" s="54" t="str">
        <x:f>IF(A22="","",VLOOKUP(A22,Invoices!$A$2:$G$20,3,FALSE))</x:f>
      </x:c>
      <x:c r="J22" s="54" t="str">
        <x:f>IF(A22="","",VLOOKUP(A22,Invoices!$A$2:$G$20,7,FALSE))</x:f>
      </x:c>
      <x:c r="K22" s="54" t="str">
        <x:f>IF(A22="","",H22/I22*J22)</x:f>
      </x:c>
      <x:c r="L22" s="54" t="str">
        <x:f>IF(A22="","",Setup!$B$7)</x:f>
      </x:c>
      <x:c r="M22" s="54" t="str">
        <x:f>IF(A22="","",H22*L22)</x:f>
      </x:c>
      <x:c r="N22" s="54" t="str">
        <x:f>IF(A22="","",M22+K22*L22)</x:f>
      </x:c>
      <x:c r="O22" s="54" t="str">
        <x:f>IF(A22="","",Setup!$B$11)</x:f>
      </x:c>
      <x:c r="P22" s="54" t="str">
        <x:f>IF(A22="","",N22*O22)</x:f>
      </x:c>
      <x:c r="Q22" s="54" t="str">
        <x:f>IF(A22="","",N22+P22)</x:f>
      </x:c>
      <x:c r="R22" s="54" t="str">
        <x:f>IF(A22="","",Q22/G22)</x:f>
      </x:c>
      <x:c r="S22" s="54" t="str">
        <x:f>IF(A22="","",Q22*1.23)</x:f>
      </x:c>
      <x:c r="T22" s="21" t="str">
        <x:f>IF(A22="","",C22&amp;" "&amp;D22&amp;" ("&amp;E22&amp;")")</x:f>
      </x:c>
    </x:row>
    <x:row r="23" ht="15" hidden="0" customHeight="1">
      <x:c r="A23" s="21"/>
      <x:c r="B23" s="21"/>
      <x:c r="C23" s="21"/>
      <x:c r="D23" s="21"/>
      <x:c r="E23" s="21"/>
      <x:c r="F23" s="21"/>
      <x:c r="G23" s="54"/>
      <x:c r="H23" s="54"/>
      <x:c r="I23" s="54" t="str">
        <x:f>IF(A23="","",VLOOKUP(A23,Invoices!$A$2:$G$20,3,FALSE))</x:f>
      </x:c>
      <x:c r="J23" s="54" t="str">
        <x:f>IF(A23="","",VLOOKUP(A23,Invoices!$A$2:$G$20,7,FALSE))</x:f>
      </x:c>
      <x:c r="K23" s="54" t="str">
        <x:f>IF(A23="","",H23/I23*J23)</x:f>
      </x:c>
      <x:c r="L23" s="54" t="str">
        <x:f>IF(A23="","",Setup!$B$7)</x:f>
      </x:c>
      <x:c r="M23" s="54" t="str">
        <x:f>IF(A23="","",H23*L23)</x:f>
      </x:c>
      <x:c r="N23" s="54" t="str">
        <x:f>IF(A23="","",M23+K23*L23)</x:f>
      </x:c>
      <x:c r="O23" s="54" t="str">
        <x:f>IF(A23="","",Setup!$B$11)</x:f>
      </x:c>
      <x:c r="P23" s="54" t="str">
        <x:f>IF(A23="","",N23*O23)</x:f>
      </x:c>
      <x:c r="Q23" s="54" t="str">
        <x:f>IF(A23="","",N23+P23)</x:f>
      </x:c>
      <x:c r="R23" s="54" t="str">
        <x:f>IF(A23="","",Q23/G23)</x:f>
      </x:c>
      <x:c r="S23" s="54" t="str">
        <x:f>IF(A23="","",Q23*1.23)</x:f>
      </x:c>
      <x:c r="T23" s="21" t="str">
        <x:f>IF(A23="","",C23&amp;" "&amp;D23&amp;" ("&amp;E23&amp;")")</x:f>
      </x:c>
    </x:row>
    <x:row r="24" ht="15" hidden="0" customHeight="1">
      <x:c r="A24" s="21"/>
      <x:c r="B24" s="21"/>
      <x:c r="C24" s="21"/>
      <x:c r="D24" s="21"/>
      <x:c r="E24" s="21"/>
      <x:c r="F24" s="21"/>
      <x:c r="G24" s="54"/>
      <x:c r="H24" s="54"/>
      <x:c r="I24" s="54" t="str">
        <x:f>IF(A24="","",VLOOKUP(A24,Invoices!$A$2:$G$20,3,FALSE))</x:f>
      </x:c>
      <x:c r="J24" s="54" t="str">
        <x:f>IF(A24="","",VLOOKUP(A24,Invoices!$A$2:$G$20,7,FALSE))</x:f>
      </x:c>
      <x:c r="K24" s="54" t="str">
        <x:f>IF(A24="","",H24/I24*J24)</x:f>
      </x:c>
      <x:c r="L24" s="54" t="str">
        <x:f>IF(A24="","",Setup!$B$7)</x:f>
      </x:c>
      <x:c r="M24" s="54" t="str">
        <x:f>IF(A24="","",H24*L24)</x:f>
      </x:c>
      <x:c r="N24" s="54" t="str">
        <x:f>IF(A24="","",M24+K24*L24)</x:f>
      </x:c>
      <x:c r="O24" s="54" t="str">
        <x:f>IF(A24="","",Setup!$B$11)</x:f>
      </x:c>
      <x:c r="P24" s="54" t="str">
        <x:f>IF(A24="","",N24*O24)</x:f>
      </x:c>
      <x:c r="Q24" s="54" t="str">
        <x:f>IF(A24="","",N24+P24)</x:f>
      </x:c>
      <x:c r="R24" s="54" t="str">
        <x:f>IF(A24="","",Q24/G24)</x:f>
      </x:c>
      <x:c r="S24" s="54" t="str">
        <x:f>IF(A24="","",Q24*1.23)</x:f>
      </x:c>
      <x:c r="T24" s="21" t="str">
        <x:f>IF(A24="","",C24&amp;" "&amp;D24&amp;" ("&amp;E24&amp;")")</x:f>
      </x:c>
    </x:row>
    <x:row r="25" ht="15" hidden="0" customHeight="1">
      <x:c r="A25" s="21"/>
      <x:c r="B25" s="21"/>
      <x:c r="C25" s="21"/>
      <x:c r="D25" s="21"/>
      <x:c r="E25" s="21"/>
      <x:c r="F25" s="21"/>
      <x:c r="G25" s="54"/>
      <x:c r="H25" s="54"/>
      <x:c r="I25" s="54" t="str">
        <x:f>IF(A25="","",VLOOKUP(A25,Invoices!$A$2:$G$20,3,FALSE))</x:f>
      </x:c>
      <x:c r="J25" s="54" t="str">
        <x:f>IF(A25="","",VLOOKUP(A25,Invoices!$A$2:$G$20,7,FALSE))</x:f>
      </x:c>
      <x:c r="K25" s="54" t="str">
        <x:f>IF(A25="","",H25/I25*J25)</x:f>
      </x:c>
      <x:c r="L25" s="54" t="str">
        <x:f>IF(A25="","",Setup!$B$7)</x:f>
      </x:c>
      <x:c r="M25" s="54" t="str">
        <x:f>IF(A25="","",H25*L25)</x:f>
      </x:c>
      <x:c r="N25" s="54" t="str">
        <x:f>IF(A25="","",M25+K25*L25)</x:f>
      </x:c>
      <x:c r="O25" s="54" t="str">
        <x:f>IF(A25="","",Setup!$B$11)</x:f>
      </x:c>
      <x:c r="P25" s="54" t="str">
        <x:f>IF(A25="","",N25*O25)</x:f>
      </x:c>
      <x:c r="Q25" s="54" t="str">
        <x:f>IF(A25="","",N25+P25)</x:f>
      </x:c>
      <x:c r="R25" s="54" t="str">
        <x:f>IF(A25="","",Q25/G25)</x:f>
      </x:c>
      <x:c r="S25" s="54" t="str">
        <x:f>IF(A25="","",Q25*1.23)</x:f>
      </x:c>
      <x:c r="T25" s="21" t="str">
        <x:f>IF(A25="","",C25&amp;" "&amp;D25&amp;" ("&amp;E25&amp;")")</x:f>
      </x:c>
    </x:row>
    <x:row r="26" ht="15" hidden="0" customHeight="1">
      <x:c r="A26" s="21"/>
      <x:c r="B26" s="21"/>
      <x:c r="C26" s="21"/>
      <x:c r="D26" s="21"/>
      <x:c r="E26" s="21"/>
      <x:c r="F26" s="21"/>
      <x:c r="G26" s="54"/>
      <x:c r="H26" s="54"/>
      <x:c r="I26" s="54" t="str">
        <x:f>IF(A26="","",VLOOKUP(A26,Invoices!$A$2:$G$20,3,FALSE))</x:f>
      </x:c>
      <x:c r="J26" s="54" t="str">
        <x:f>IF(A26="","",VLOOKUP(A26,Invoices!$A$2:$G$20,7,FALSE))</x:f>
      </x:c>
      <x:c r="K26" s="54" t="str">
        <x:f>IF(A26="","",H26/I26*J26)</x:f>
      </x:c>
      <x:c r="L26" s="54" t="str">
        <x:f>IF(A26="","",Setup!$B$7)</x:f>
      </x:c>
      <x:c r="M26" s="54" t="str">
        <x:f>IF(A26="","",H26*L26)</x:f>
      </x:c>
      <x:c r="N26" s="54" t="str">
        <x:f>IF(A26="","",M26+K26*L26)</x:f>
      </x:c>
      <x:c r="O26" s="54" t="str">
        <x:f>IF(A26="","",Setup!$B$11)</x:f>
      </x:c>
      <x:c r="P26" s="54" t="str">
        <x:f>IF(A26="","",N26*O26)</x:f>
      </x:c>
      <x:c r="Q26" s="54" t="str">
        <x:f>IF(A26="","",N26+P26)</x:f>
      </x:c>
      <x:c r="R26" s="54" t="str">
        <x:f>IF(A26="","",Q26/G26)</x:f>
      </x:c>
      <x:c r="S26" s="54" t="str">
        <x:f>IF(A26="","",Q26*1.23)</x:f>
      </x:c>
      <x:c r="T26" s="21" t="str">
        <x:f>IF(A26="","",C26&amp;" "&amp;D26&amp;" ("&amp;E26&amp;")")</x:f>
      </x:c>
    </x:row>
    <x:row r="27" ht="15" hidden="0" customHeight="1">
      <x:c r="A27" s="21"/>
      <x:c r="B27" s="21"/>
      <x:c r="C27" s="21"/>
      <x:c r="D27" s="21"/>
      <x:c r="E27" s="21"/>
      <x:c r="F27" s="21"/>
      <x:c r="G27" s="54"/>
      <x:c r="H27" s="54"/>
      <x:c r="I27" s="54" t="str">
        <x:f>IF(A27="","",VLOOKUP(A27,Invoices!$A$2:$G$20,3,FALSE))</x:f>
      </x:c>
      <x:c r="J27" s="54" t="str">
        <x:f>IF(A27="","",VLOOKUP(A27,Invoices!$A$2:$G$20,7,FALSE))</x:f>
      </x:c>
      <x:c r="K27" s="54" t="str">
        <x:f>IF(A27="","",H27/I27*J27)</x:f>
      </x:c>
      <x:c r="L27" s="54" t="str">
        <x:f>IF(A27="","",Setup!$B$7)</x:f>
      </x:c>
      <x:c r="M27" s="54" t="str">
        <x:f>IF(A27="","",H27*L27)</x:f>
      </x:c>
      <x:c r="N27" s="54" t="str">
        <x:f>IF(A27="","",M27+K27*L27)</x:f>
      </x:c>
      <x:c r="O27" s="54" t="str">
        <x:f>IF(A27="","",Setup!$B$11)</x:f>
      </x:c>
      <x:c r="P27" s="54" t="str">
        <x:f>IF(A27="","",N27*O27)</x:f>
      </x:c>
      <x:c r="Q27" s="54" t="str">
        <x:f>IF(A27="","",N27+P27)</x:f>
      </x:c>
      <x:c r="R27" s="54" t="str">
        <x:f>IF(A27="","",Q27/G27)</x:f>
      </x:c>
      <x:c r="S27" s="54" t="str">
        <x:f>IF(A27="","",Q27*1.23)</x:f>
      </x:c>
      <x:c r="T27" s="21" t="str">
        <x:f>IF(A27="","",C27&amp;" "&amp;D27&amp;" ("&amp;E27&amp;")")</x:f>
      </x:c>
    </x:row>
    <x:row r="28" ht="15" hidden="0" customHeight="1">
      <x:c r="A28" s="21"/>
      <x:c r="B28" s="21"/>
      <x:c r="C28" s="21"/>
      <x:c r="D28" s="21"/>
      <x:c r="E28" s="21"/>
      <x:c r="F28" s="21"/>
      <x:c r="G28" s="54"/>
      <x:c r="H28" s="54"/>
      <x:c r="I28" s="54" t="str">
        <x:f>IF(A28="","",VLOOKUP(A28,Invoices!$A$2:$G$20,3,FALSE))</x:f>
      </x:c>
      <x:c r="J28" s="54" t="str">
        <x:f>IF(A28="","",VLOOKUP(A28,Invoices!$A$2:$G$20,7,FALSE))</x:f>
      </x:c>
      <x:c r="K28" s="54" t="str">
        <x:f>IF(A28="","",H28/I28*J28)</x:f>
      </x:c>
      <x:c r="L28" s="54" t="str">
        <x:f>IF(A28="","",Setup!$B$7)</x:f>
      </x:c>
      <x:c r="M28" s="54" t="str">
        <x:f>IF(A28="","",H28*L28)</x:f>
      </x:c>
      <x:c r="N28" s="54" t="str">
        <x:f>IF(A28="","",M28+K28*L28)</x:f>
      </x:c>
      <x:c r="O28" s="54" t="str">
        <x:f>IF(A28="","",Setup!$B$11)</x:f>
      </x:c>
      <x:c r="P28" s="54" t="str">
        <x:f>IF(A28="","",N28*O28)</x:f>
      </x:c>
      <x:c r="Q28" s="54" t="str">
        <x:f>IF(A28="","",N28+P28)</x:f>
      </x:c>
      <x:c r="R28" s="54" t="str">
        <x:f>IF(A28="","",Q28/G28)</x:f>
      </x:c>
      <x:c r="S28" s="54" t="str">
        <x:f>IF(A28="","",Q28*1.23)</x:f>
      </x:c>
      <x:c r="T28" s="21" t="str">
        <x:f>IF(A28="","",C28&amp;" "&amp;D28&amp;" ("&amp;E28&amp;")")</x:f>
      </x:c>
    </x:row>
    <x:row r="29" ht="15" hidden="0" customHeight="1">
      <x:c r="A29" s="21"/>
      <x:c r="B29" s="21"/>
      <x:c r="C29" s="21"/>
      <x:c r="D29" s="21"/>
      <x:c r="E29" s="21"/>
      <x:c r="F29" s="21"/>
      <x:c r="G29" s="54"/>
      <x:c r="H29" s="54"/>
      <x:c r="I29" s="54" t="str">
        <x:f>IF(A29="","",VLOOKUP(A29,Invoices!$A$2:$G$20,3,FALSE))</x:f>
      </x:c>
      <x:c r="J29" s="54" t="str">
        <x:f>IF(A29="","",VLOOKUP(A29,Invoices!$A$2:$G$20,7,FALSE))</x:f>
      </x:c>
      <x:c r="K29" s="54" t="str">
        <x:f>IF(A29="","",H29/I29*J29)</x:f>
      </x:c>
      <x:c r="L29" s="54" t="str">
        <x:f>IF(A29="","",Setup!$B$7)</x:f>
      </x:c>
      <x:c r="M29" s="54" t="str">
        <x:f>IF(A29="","",H29*L29)</x:f>
      </x:c>
      <x:c r="N29" s="54" t="str">
        <x:f>IF(A29="","",M29+K29*L29)</x:f>
      </x:c>
      <x:c r="O29" s="54" t="str">
        <x:f>IF(A29="","",Setup!$B$11)</x:f>
      </x:c>
      <x:c r="P29" s="54" t="str">
        <x:f>IF(A29="","",N29*O29)</x:f>
      </x:c>
      <x:c r="Q29" s="54" t="str">
        <x:f>IF(A29="","",N29+P29)</x:f>
      </x:c>
      <x:c r="R29" s="54" t="str">
        <x:f>IF(A29="","",Q29/G29)</x:f>
      </x:c>
      <x:c r="S29" s="54" t="str">
        <x:f>IF(A29="","",Q29*1.23)</x:f>
      </x:c>
      <x:c r="T29" s="21" t="str">
        <x:f>IF(A29="","",C29&amp;" "&amp;D29&amp;" ("&amp;E29&amp;")")</x:f>
      </x:c>
    </x:row>
    <x:row r="30" ht="15" hidden="0" customHeight="1">
      <x:c r="A30" s="21"/>
      <x:c r="B30" s="21"/>
      <x:c r="C30" s="21"/>
      <x:c r="D30" s="21"/>
      <x:c r="E30" s="21"/>
      <x:c r="F30" s="21"/>
      <x:c r="G30" s="54"/>
      <x:c r="H30" s="54"/>
      <x:c r="I30" s="54" t="str">
        <x:f>IF(A30="","",VLOOKUP(A30,Invoices!$A$2:$G$20,3,FALSE))</x:f>
      </x:c>
      <x:c r="J30" s="54" t="str">
        <x:f>IF(A30="","",VLOOKUP(A30,Invoices!$A$2:$G$20,7,FALSE))</x:f>
      </x:c>
      <x:c r="K30" s="54" t="str">
        <x:f>IF(A30="","",H30/I30*J30)</x:f>
      </x:c>
      <x:c r="L30" s="54" t="str">
        <x:f>IF(A30="","",Setup!$B$7)</x:f>
      </x:c>
      <x:c r="M30" s="54" t="str">
        <x:f>IF(A30="","",H30*L30)</x:f>
      </x:c>
      <x:c r="N30" s="54" t="str">
        <x:f>IF(A30="","",M30+K30*L30)</x:f>
      </x:c>
      <x:c r="O30" s="54" t="str">
        <x:f>IF(A30="","",Setup!$B$11)</x:f>
      </x:c>
      <x:c r="P30" s="54" t="str">
        <x:f>IF(A30="","",N30*O30)</x:f>
      </x:c>
      <x:c r="Q30" s="54" t="str">
        <x:f>IF(A30="","",N30+P30)</x:f>
      </x:c>
      <x:c r="R30" s="54" t="str">
        <x:f>IF(A30="","",Q30/G30)</x:f>
      </x:c>
      <x:c r="S30" s="54" t="str">
        <x:f>IF(A30="","",Q30*1.23)</x:f>
      </x:c>
      <x:c r="T30" s="21" t="str">
        <x:f>IF(A30="","",C30&amp;" "&amp;D30&amp;" ("&amp;E30&amp;")")</x:f>
      </x:c>
    </x:row>
    <x:row r="31" ht="15" hidden="0" customHeight="1">
      <x:c r="A31" s="21"/>
      <x:c r="B31" s="21"/>
      <x:c r="C31" s="21"/>
      <x:c r="D31" s="21"/>
      <x:c r="E31" s="21"/>
      <x:c r="F31" s="21"/>
      <x:c r="G31" s="54"/>
      <x:c r="H31" s="54"/>
      <x:c r="I31" s="54" t="str">
        <x:f>IF(A31="","",VLOOKUP(A31,Invoices!$A$2:$G$20,3,FALSE))</x:f>
      </x:c>
      <x:c r="J31" s="54" t="str">
        <x:f>IF(A31="","",VLOOKUP(A31,Invoices!$A$2:$G$20,7,FALSE))</x:f>
      </x:c>
      <x:c r="K31" s="54" t="str">
        <x:f>IF(A31="","",H31/I31*J31)</x:f>
      </x:c>
      <x:c r="L31" s="54" t="str">
        <x:f>IF(A31="","",Setup!$B$7)</x:f>
      </x:c>
      <x:c r="M31" s="54" t="str">
        <x:f>IF(A31="","",H31*L31)</x:f>
      </x:c>
      <x:c r="N31" s="54" t="str">
        <x:f>IF(A31="","",M31+K31*L31)</x:f>
      </x:c>
      <x:c r="O31" s="54" t="str">
        <x:f>IF(A31="","",Setup!$B$11)</x:f>
      </x:c>
      <x:c r="P31" s="54" t="str">
        <x:f>IF(A31="","",N31*O31)</x:f>
      </x:c>
      <x:c r="Q31" s="54" t="str">
        <x:f>IF(A31="","",N31+P31)</x:f>
      </x:c>
      <x:c r="R31" s="54" t="str">
        <x:f>IF(A31="","",Q31/G31)</x:f>
      </x:c>
      <x:c r="S31" s="54" t="str">
        <x:f>IF(A31="","",Q31*1.23)</x:f>
      </x:c>
      <x:c r="T31" s="21" t="str">
        <x:f>IF(A31="","",C31&amp;" "&amp;D31&amp;" ("&amp;E31&amp;")")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6" hidden="0" customWidth="1"/>
    <x:col min="3" max="3" width="10" hidden="0" customWidth="1"/>
    <x:col min="4" max="4" width="10" hidden="0" customWidth="1"/>
    <x:col min="5" max="5" width="14" hidden="0" customWidth="1"/>
    <x:col min="6" max="6" width="10" hidden="0" customWidth="1"/>
    <x:col min="7" max="7" width="14" hidden="0" customWidth="1"/>
    <x:col min="8" max="8" width="16" hidden="0" customWidth="1"/>
  </x:cols>
  <x:sheetData>
    <x:row r="1" ht="15" hidden="0" customHeight="1">
      <x:c r="A1" s="30" t="str">
        <x:v>PZ output calculation view</x:v>
      </x:c>
      <x:c r="B1" s="36"/>
      <x:c r="C1" s="21"/>
      <x:c r="D1" s="21"/>
      <x:c r="E1" s="21"/>
      <x:c r="F1" s="21"/>
      <x:c r="G1" s="21"/>
      <x:c r="H1" s="21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15" hidden="0" customHeight="1">
      <x:c r="A3" s="21" t="str">
        <x:v>Document no</x:v>
      </x:c>
      <x:c r="B3" s="21" t="str">
        <x:f>Setup!B3</x:f>
        <x:v>PZ TEMPLATE / 39-44</x:v>
      </x:c>
      <x:c r="C3" s="21"/>
      <x:c r="D3" s="21" t="str">
        <x:v>MRN</x:v>
      </x:c>
      <x:c r="E3" s="21" t="str">
        <x:f>Setup!B8</x:f>
        <x:v>26PL44302D008N8OR0</x:v>
      </x:c>
      <x:c r="F3" s="21"/>
      <x:c r="G3" s="21"/>
      <x:c r="H3" s="21"/>
    </x:row>
    <x:row r="4" ht="15" hidden="0" customHeight="1">
      <x:c r="A4" s="21" t="str">
        <x:v>Issue date</x:v>
      </x:c>
      <x:c r="B4" s="21" t="str">
        <x:f>Setup!B4</x:f>
        <x:v>15.04.2026</x:v>
      </x:c>
      <x:c r="C4" s="21"/>
      <x:c r="D4" s="21" t="str">
        <x:v>LRN</x:v>
      </x:c>
      <x:c r="E4" s="21" t="str">
        <x:f>Setup!B9</x:f>
        <x:v>26S00Q8O0S</x:v>
      </x:c>
      <x:c r="F4" s="21"/>
      <x:c r="G4" s="21"/>
      <x:c r="H4" s="21"/>
    </x:row>
    <x:row r="5" ht="15" hidden="0" customHeight="1">
      <x:c r="A5" s="21" t="str">
        <x:v>Warehouse</x:v>
      </x:c>
      <x:c r="B5" s="21" t="str">
        <x:v>Główny</x:v>
      </x:c>
      <x:c r="C5" s="21"/>
      <x:c r="D5" s="21" t="str">
        <x:v>USD rate</x:v>
      </x:c>
      <x:c r="E5" s="21" t="n">
        <x:f>Setup!B7</x:f>
        <x:v>3.6506</x:v>
      </x:c>
      <x:c r="F5" s="21"/>
      <x:c r="G5" s="21"/>
      <x:c r="H5" s="21"/>
    </x:row>
    <x:row r="6" ht="15" hidden="0" customHeight="1">
      <x:c r="A6" s="21" t="str">
        <x:v>Recipient</x:v>
      </x:c>
      <x:c r="B6" s="21" t="str">
        <x:v>ESTRELLA JEWELS Sp. z o. o. SPÓŁKA KOMANDYTOWA</x:v>
      </x:c>
      <x:c r="C6" s="21"/>
      <x:c r="D6" s="21" t="str">
        <x:v>Duty PLN</x:v>
      </x:c>
      <x:c r="E6" s="21" t="n">
        <x:f>Setup!B5</x:f>
        <x:v>1225</x:v>
      </x:c>
      <x:c r="F6" s="21"/>
      <x:c r="G6" s="21"/>
      <x:c r="H6" s="21"/>
    </x:row>
    <x:row r="7" ht="15" hidden="0" customHeight="1">
      <x:c r="A7" s="21" t="str">
        <x:v>Supplier</x:v>
      </x:c>
      <x:c r="B7" s="21" t="str">
        <x:v>ESTRELLA JEWELS LLP.</x:v>
      </x:c>
      <x:c r="C7" s="21"/>
      <x:c r="D7" s="21" t="str">
        <x:v>VAT ref PLN</x:v>
      </x:c>
      <x:c r="E7" s="21" t="n">
        <x:f>Setup!B6</x:f>
        <x:v>11549</x:v>
      </x:c>
      <x:c r="F7" s="21"/>
      <x:c r="G7" s="21"/>
      <x:c r="H7" s="21"/>
    </x:row>
    <x:row r="8" ht="15" hidden="0" customHeight="1">
      <x:c r="A8" s="21"/>
      <x:c r="B8" s="21"/>
      <x:c r="C8" s="21"/>
      <x:c r="D8" s="21"/>
      <x:c r="E8" s="21"/>
      <x:c r="F8" s="21"/>
      <x:c r="G8" s="21"/>
      <x:c r="H8" s="21"/>
    </x:row>
    <x:row r="9" ht="15" hidden="0" customHeight="1">
      <x:c r="A9" s="44" t="str">
        <x:v>Lp</x:v>
      </x:c>
      <x:c r="B9" s="44" t="str">
        <x:v>Nazwa</x:v>
      </x:c>
      <x:c r="C9" s="44" t="str">
        <x:v>Jedn</x:v>
      </x:c>
      <x:c r="D9" s="44" t="str">
        <x:v>Ilość</x:v>
      </x:c>
      <x:c r="E9" s="44" t="str">
        <x:v>Cena netto</x:v>
      </x:c>
      <x:c r="F9" s="44" t="str">
        <x:v>Stawka</x:v>
      </x:c>
      <x:c r="G9" s="44" t="str">
        <x:v>Wartość netto</x:v>
      </x:c>
      <x:c r="H9" s="44" t="str">
        <x:v>Wartość brutto</x:v>
      </x:c>
    </x:row>
    <x:row r="10" ht="15" hidden="0" customHeight="1">
      <x:c r="A10" s="21" t="n">
        <x:f>IF(Items!A2="","",ROW()-9)</x:f>
        <x:v>1</x:v>
      </x:c>
      <x:c r="B10" s="21" t="str">
        <x:f>IF(Items!A2="","",Items!T2)</x:f>
        <x:v>Diamond / Colour Stone Studded 14KT Gold Jewellery PENDANT (WISIOREK Z 14-karatowego złota z diamentami i kamieniami)</x:v>
      </x:c>
      <x:c r="C10" s="21" t="str">
        <x:f>IF(Items!A2="","",Items!F2)</x:f>
        <x:v>szt.</x:v>
      </x:c>
      <x:c r="D10" s="54" t="n">
        <x:f>IF(Items!A2="","",Items!G2)</x:f>
        <x:v>2</x:v>
      </x:c>
      <x:c r="E10" s="54" t="n">
        <x:f>IF(Items!A2="","",Items!R2)</x:f>
        <x:v>802.256654621644</x:v>
      </x:c>
      <x:c r="F10" s="54" t="str">
        <x:f>IF(Items!A2="","","23%")</x:f>
        <x:v>23%</x:v>
      </x:c>
      <x:c r="G10" s="54" t="n">
        <x:f>IF(Items!A2="","",Items!Q2)</x:f>
        <x:v>1604.513309243288</x:v>
      </x:c>
      <x:c r="H10" s="54" t="n">
        <x:f>IF(Items!A2="","",Items!S2)</x:f>
        <x:v>1973.551370369244</x:v>
      </x:c>
    </x:row>
    <x:row r="11" ht="15" hidden="0" customHeight="1">
      <x:c r="A11" s="21" t="n">
        <x:f>IF(Items!A3="","",ROW()-9)</x:f>
        <x:v>2</x:v>
      </x:c>
      <x:c r="B11" s="21" t="str">
        <x:f>IF(Items!A3="","",Items!T3)</x:f>
        <x:v>Diamond Studded 14KT Gold Jewellery RING (Pierścionek z 14-karatowego złota wysadzany diamentami)</x:v>
      </x:c>
      <x:c r="C11" s="21" t="str">
        <x:f>IF(Items!A3="","",Items!F3)</x:f>
        <x:v>szt.</x:v>
      </x:c>
      <x:c r="D11" s="54" t="n">
        <x:f>IF(Items!A3="","",Items!G3)</x:f>
        <x:v>9</x:v>
      </x:c>
      <x:c r="E11" s="54" t="n">
        <x:f>IF(Items!A3="","",Items!R3)</x:f>
        <x:v>1861.7030564443974</x:v>
      </x:c>
      <x:c r="F11" s="54" t="str">
        <x:f>IF(Items!A3="","","23%")</x:f>
        <x:v>23%</x:v>
      </x:c>
      <x:c r="G11" s="54" t="n">
        <x:f>IF(Items!A3="","",Items!Q3)</x:f>
        <x:v>16755.327507999576</x:v>
      </x:c>
      <x:c r="H11" s="54" t="n">
        <x:f>IF(Items!A3="","",Items!S3)</x:f>
        <x:v>20609.05283483948</x:v>
      </x:c>
    </x:row>
    <x:row r="12" ht="15" hidden="0" customHeight="1">
      <x:c r="A12" s="21" t="n">
        <x:f>IF(Items!A4="","",ROW()-9)</x:f>
        <x:v>3</x:v>
      </x:c>
      <x:c r="B12" s="21" t="str">
        <x:f>IF(Items!A4="","",Items!T4)</x:f>
        <x:v>Diamond / Colour Stone Studded 14KT Gold Jewellery EARRINGS (Kolczyki z 14-karatowego złota z diamentami i kamieniami)</x:v>
      </x:c>
      <x:c r="C12" s="21" t="str">
        <x:f>IF(Items!A4="","",Items!F4)</x:f>
        <x:v>szt.</x:v>
      </x:c>
      <x:c r="D12" s="54" t="n">
        <x:f>IF(Items!A4="","",Items!G4)</x:f>
        <x:v>1</x:v>
      </x:c>
      <x:c r="E12" s="54" t="n">
        <x:f>IF(Items!A4="","",Items!R4)</x:f>
        <x:v>864.25775439334</x:v>
      </x:c>
      <x:c r="F12" s="54" t="str">
        <x:f>IF(Items!A4="","","23%")</x:f>
        <x:v>23%</x:v>
      </x:c>
      <x:c r="G12" s="54" t="n">
        <x:f>IF(Items!A4="","",Items!Q4)</x:f>
        <x:v>864.25775439334</x:v>
      </x:c>
      <x:c r="H12" s="54" t="n">
        <x:f>IF(Items!A4="","",Items!S4)</x:f>
        <x:v>1063.0370379038081</x:v>
      </x:c>
    </x:row>
    <x:row r="13" ht="15" hidden="0" customHeight="1">
      <x:c r="A13" s="21" t="n">
        <x:f>IF(Items!A5="","",ROW()-9)</x:f>
        <x:v>4</x:v>
      </x:c>
      <x:c r="B13" s="21" t="str">
        <x:f>IF(Items!A5="","",Items!T5)</x:f>
        <x:v>Diamond Studded 14KT Gold Jewellery EARRINGS (Kolczyki z 14-karatowego złota wysadzane diamentami)</x:v>
      </x:c>
      <x:c r="C13" s="21" t="str">
        <x:f>IF(Items!A5="","",Items!F5)</x:f>
        <x:v>szt.</x:v>
      </x:c>
      <x:c r="D13" s="54" t="n">
        <x:f>IF(Items!A5="","",Items!G5)</x:f>
        <x:v>2</x:v>
      </x:c>
      <x:c r="E13" s="54" t="n">
        <x:f>IF(Items!A5="","",Items!R5)</x:f>
        <x:v>2324.1018308360035</x:v>
      </x:c>
      <x:c r="F13" s="54" t="str">
        <x:f>IF(Items!A5="","","23%")</x:f>
        <x:v>23%</x:v>
      </x:c>
      <x:c r="G13" s="54" t="n">
        <x:f>IF(Items!A5="","",Items!Q5)</x:f>
        <x:v>4648.203661672007</x:v>
      </x:c>
      <x:c r="H13" s="54" t="n">
        <x:f>IF(Items!A5="","",Items!S5)</x:f>
        <x:v>5717.290503856569</x:v>
      </x:c>
    </x:row>
    <x:row r="14" ht="15" hidden="0" customHeight="1">
      <x:c r="A14" s="21" t="n">
        <x:f>IF(Items!A6="","",ROW()-9)</x:f>
        <x:v>5</x:v>
      </x:c>
      <x:c r="B14" s="21" t="str">
        <x:f>IF(Items!A6="","",Items!T6)</x:f>
        <x:v>Plain 18KT Gold Jewellery RING (Prosty pierścień z 18-karatowego złota)</x:v>
      </x:c>
      <x:c r="C14" s="21" t="str">
        <x:f>IF(Items!A6="","",Items!F6)</x:f>
        <x:v>szt.</x:v>
      </x:c>
      <x:c r="D14" s="54" t="n">
        <x:f>IF(Items!A6="","",Items!G6)</x:f>
        <x:v>1</x:v>
      </x:c>
      <x:c r="E14" s="54" t="n">
        <x:f>IF(Items!A6="","",Items!R6)</x:f>
        <x:v>933.4768879089468</x:v>
      </x:c>
      <x:c r="F14" s="54" t="str">
        <x:f>IF(Items!A6="","","23%")</x:f>
        <x:v>23%</x:v>
      </x:c>
      <x:c r="G14" s="54" t="n">
        <x:f>IF(Items!A6="","",Items!Q6)</x:f>
        <x:v>933.4768879089468</x:v>
      </x:c>
      <x:c r="H14" s="54" t="n">
        <x:f>IF(Items!A6="","",Items!S6)</x:f>
        <x:v>1148.1765721280044</x:v>
      </x:c>
    </x:row>
    <x:row r="15" ht="15" hidden="0" customHeight="1">
      <x:c r="A15" s="21" t="n">
        <x:f>IF(Items!A7="","",ROW()-9)</x:f>
        <x:v>6</x:v>
      </x:c>
      <x:c r="B15" s="21" t="str">
        <x:f>IF(Items!A7="","",Items!T7)</x:f>
        <x:v>Diamond Studded 14KT Gold Jewellery RING (Pierścionek z 14-karatowego złota wysadzany diamentami)</x:v>
      </x:c>
      <x:c r="C15" s="21" t="str">
        <x:f>IF(Items!A7="","",Items!F7)</x:f>
        <x:v>szt.</x:v>
      </x:c>
      <x:c r="D15" s="54" t="n">
        <x:f>IF(Items!A7="","",Items!G7)</x:f>
        <x:v>1</x:v>
      </x:c>
      <x:c r="E15" s="54" t="n">
        <x:f>IF(Items!A7="","",Items!R7)</x:f>
        <x:v>1113.8967906140372</x:v>
      </x:c>
      <x:c r="F15" s="54" t="str">
        <x:f>IF(Items!A7="","","23%")</x:f>
        <x:v>23%</x:v>
      </x:c>
      <x:c r="G15" s="54" t="n">
        <x:f>IF(Items!A7="","",Items!Q7)</x:f>
        <x:v>1113.8967906140372</x:v>
      </x:c>
      <x:c r="H15" s="54" t="n">
        <x:f>IF(Items!A7="","",Items!S7)</x:f>
        <x:v>1370.0930524552657</x:v>
      </x:c>
    </x:row>
    <x:row r="16" ht="15" hidden="0" customHeight="1">
      <x:c r="A16" s="21" t="n">
        <x:f>IF(Items!A8="","",ROW()-9)</x:f>
        <x:v>7</x:v>
      </x:c>
      <x:c r="B16" s="21" t="str">
        <x:f>IF(Items!A8="","",Items!T8)</x:f>
        <x:v>Diamond / Colour Stone Studded 14KT Gold Jewellery PENDANT (WISIOREK Z 14-karatowego złota z diamentami i kamieniami)</x:v>
      </x:c>
      <x:c r="C16" s="21" t="str">
        <x:f>IF(Items!A8="","",Items!F8)</x:f>
        <x:v>szt.</x:v>
      </x:c>
      <x:c r="D16" s="54" t="n">
        <x:f>IF(Items!A8="","",Items!G8)</x:f>
        <x:v>1</x:v>
      </x:c>
      <x:c r="E16" s="54" t="n">
        <x:f>IF(Items!A8="","",Items!R8)</x:f>
        <x:v>761.2570268843987</x:v>
      </x:c>
      <x:c r="F16" s="54" t="str">
        <x:f>IF(Items!A8="","","23%")</x:f>
        <x:v>23%</x:v>
      </x:c>
      <x:c r="G16" s="54" t="n">
        <x:f>IF(Items!A8="","",Items!Q8)</x:f>
        <x:v>761.2570268843987</x:v>
      </x:c>
      <x:c r="H16" s="54" t="n">
        <x:f>IF(Items!A8="","",Items!S8)</x:f>
        <x:v>936.3461430678103</x:v>
      </x:c>
    </x:row>
    <x:row r="17" ht="15" hidden="0" customHeight="1">
      <x:c r="A17" s="21" t="n">
        <x:f>IF(Items!A9="","",ROW()-9)</x:f>
        <x:v>8</x:v>
      </x:c>
      <x:c r="B17" s="21" t="str">
        <x:f>IF(Items!A9="","",Items!T9)</x:f>
        <x:v>Diamond / Colour Stone Studded 14KT Gold Jewellery RING (Pierścionek z 14-karatowego złota z diamentami i kamieniami)</x:v>
      </x:c>
      <x:c r="C17" s="21" t="str">
        <x:f>IF(Items!A9="","",Items!F9)</x:f>
        <x:v>szt.</x:v>
      </x:c>
      <x:c r="D17" s="54" t="n">
        <x:f>IF(Items!A9="","",Items!G9)</x:f>
        <x:v>2</x:v>
      </x:c>
      <x:c r="E17" s="54" t="n">
        <x:f>IF(Items!A9="","",Items!R9)</x:f>
        <x:v>3493.491405553651</x:v>
      </x:c>
      <x:c r="F17" s="54" t="str">
        <x:f>IF(Items!A9="","","23%")</x:f>
        <x:v>23%</x:v>
      </x:c>
      <x:c r="G17" s="54" t="n">
        <x:f>IF(Items!A9="","",Items!Q9)</x:f>
        <x:v>6986.982811107302</x:v>
      </x:c>
      <x:c r="H17" s="54" t="n">
        <x:f>IF(Items!A9="","",Items!S9)</x:f>
        <x:v>8593.988857661981</x:v>
      </x:c>
    </x:row>
    <x:row r="18" ht="15" hidden="0" customHeight="1">
      <x:c r="A18" s="21" t="n">
        <x:f>IF(Items!A10="","",ROW()-9)</x:f>
        <x:v>9</x:v>
      </x:c>
      <x:c r="B18" s="21" t="str">
        <x:f>IF(Items!A10="","",Items!T10)</x:f>
        <x:v>Diamond Studded 14KT Gold Jewellery EARRINGS (Kolczyki z 14-karatowego złota wysadzane diamentami)</x:v>
      </x:c>
      <x:c r="C18" s="21" t="str">
        <x:f>IF(Items!A10="","",Items!F10)</x:f>
        <x:v>szt.</x:v>
      </x:c>
      <x:c r="D18" s="54" t="n">
        <x:f>IF(Items!A10="","",Items!G10)</x:f>
        <x:v>1.5</x:v>
      </x:c>
      <x:c r="E18" s="54" t="n">
        <x:f>IF(Items!A10="","",Items!R10)</x:f>
        <x:v>1844.1011806374543</x:v>
      </x:c>
      <x:c r="F18" s="54" t="str">
        <x:f>IF(Items!A10="","","23%")</x:f>
        <x:v>23%</x:v>
      </x:c>
      <x:c r="G18" s="54" t="n">
        <x:f>IF(Items!A10="","",Items!Q10)</x:f>
        <x:v>2766.1517709561813</x:v>
      </x:c>
      <x:c r="H18" s="54" t="n">
        <x:f>IF(Items!A10="","",Items!S10)</x:f>
        <x:v>3402.366678276103</x:v>
      </x:c>
    </x:row>
    <x:row r="19" ht="15" hidden="0" customHeight="1">
      <x:c r="A19" s="21" t="n">
        <x:f>IF(Items!A11="","",ROW()-9)</x:f>
        <x:v>10</x:v>
      </x:c>
      <x:c r="B19" s="21" t="str">
        <x:f>IF(Items!A11="","",Items!T11)</x:f>
        <x:v>Diamond / Colour Stone Studded 14KT Gold Jewellery EARRINGS (Kolczyki z 14-karatowego złota z diamentami i kamieniami)</x:v>
      </x:c>
      <x:c r="C19" s="21" t="str">
        <x:f>IF(Items!A11="","",Items!F11)</x:f>
        <x:v>szt.</x:v>
      </x:c>
      <x:c r="D19" s="54" t="n">
        <x:f>IF(Items!A11="","",Items!G11)</x:f>
        <x:v>1</x:v>
      </x:c>
      <x:c r="E19" s="54" t="n">
        <x:f>IF(Items!A11="","",Items!R11)</x:f>
        <x:v>3214.6150689722376</x:v>
      </x:c>
      <x:c r="F19" s="54" t="str">
        <x:f>IF(Items!A11="","","23%")</x:f>
        <x:v>23%</x:v>
      </x:c>
      <x:c r="G19" s="54" t="n">
        <x:f>IF(Items!A11="","",Items!Q11)</x:f>
        <x:v>3214.6150689722376</x:v>
      </x:c>
      <x:c r="H19" s="54" t="n">
        <x:f>IF(Items!A11="","",Items!S11)</x:f>
        <x:v>3953.9765348358524</x:v>
      </x:c>
    </x:row>
    <x:row r="20" ht="15" hidden="0" customHeight="1">
      <x:c r="A20" s="21" t="n">
        <x:f>IF(Items!A12="","",ROW()-9)</x:f>
        <x:v>11</x:v>
      </x:c>
      <x:c r="B20" s="21" t="str">
        <x:f>IF(Items!A12="","",Items!T12)</x:f>
        <x:v>Diamond Studded 14KT Gold Jewellery RING (Pierścionek z 14-karatowego złota wysadzany diamentami)</x:v>
      </x:c>
      <x:c r="C20" s="21" t="str">
        <x:f>IF(Items!A12="","",Items!F12)</x:f>
        <x:v>szt.</x:v>
      </x:c>
      <x:c r="D20" s="54" t="n">
        <x:f>IF(Items!A12="","",Items!G12)</x:f>
        <x:v>3</x:v>
      </x:c>
      <x:c r="E20" s="54" t="n">
        <x:f>IF(Items!A12="","",Items!R12)</x:f>
        <x:v>698.6771846269781</x:v>
      </x:c>
      <x:c r="F20" s="54" t="str">
        <x:f>IF(Items!A12="","","23%")</x:f>
        <x:v>23%</x:v>
      </x:c>
      <x:c r="G20" s="54" t="n">
        <x:f>IF(Items!A12="","",Items!Q12)</x:f>
        <x:v>2096.0315538809346</x:v>
      </x:c>
      <x:c r="H20" s="54" t="n">
        <x:f>IF(Items!A12="","",Items!S12)</x:f>
        <x:v>2578.1188112735495</x:v>
      </x:c>
    </x:row>
    <x:row r="21" ht="15" hidden="0" customHeight="1">
      <x:c r="A21" s="21" t="n">
        <x:f>IF(Items!A13="","",ROW()-9)</x:f>
        <x:v>12</x:v>
      </x:c>
      <x:c r="B21" s="21" t="str">
        <x:f>IF(Items!A13="","",Items!T13)</x:f>
        <x:v>Lab Grown Diamond 18KT Gold Jewellery BRACELET (Bransoletka z diamentami hodowanymi laboratoryjnie, wykonana ze złota próby 18 KT)</x:v>
      </x:c>
      <x:c r="C21" s="21" t="str">
        <x:f>IF(Items!A13="","",Items!F13)</x:f>
        <x:v>szt.</x:v>
      </x:c>
      <x:c r="D21" s="54" t="n">
        <x:f>IF(Items!A13="","",Items!G13)</x:f>
        <x:v>1</x:v>
      </x:c>
      <x:c r="E21" s="54" t="n">
        <x:f>IF(Items!A13="","",Items!R13)</x:f>
        <x:v>5458.500792640531</x:v>
      </x:c>
      <x:c r="F21" s="54" t="str">
        <x:f>IF(Items!A13="","","23%")</x:f>
        <x:v>23%</x:v>
      </x:c>
      <x:c r="G21" s="54" t="n">
        <x:f>IF(Items!A13="","",Items!Q13)</x:f>
        <x:v>5458.500792640531</x:v>
      </x:c>
      <x:c r="H21" s="54" t="n">
        <x:f>IF(Items!A13="","",Items!S13)</x:f>
        <x:v>6713.955974947852</x:v>
      </x:c>
    </x:row>
    <x:row r="22" ht="15" hidden="0" customHeight="1">
      <x:c r="A22" s="21" t="n">
        <x:f>IF(Items!A14="","",ROW()-9)</x:f>
        <x:v>13</x:v>
      </x:c>
      <x:c r="B22" s="21" t="str">
        <x:f>IF(Items!A14="","",Items!T14)</x:f>
        <x:v>Plain 14KT Gold Jewellery PENDANT (WISIOREK Z 14-karatowego złota)</x:v>
      </x:c>
      <x:c r="C22" s="21" t="str">
        <x:f>IF(Items!A14="","",Items!F14)</x:f>
        <x:v>szt.</x:v>
      </x:c>
      <x:c r="D22" s="54" t="n">
        <x:f>IF(Items!A14="","",Items!G14)</x:f>
        <x:v>1</x:v>
      </x:c>
      <x:c r="E22" s="54" t="n">
        <x:f>IF(Items!A14="","",Items!R14)</x:f>
        <x:v>365.16799727769404</x:v>
      </x:c>
      <x:c r="F22" s="54" t="str">
        <x:f>IF(Items!A14="","","23%")</x:f>
        <x:v>23%</x:v>
      </x:c>
      <x:c r="G22" s="54" t="n">
        <x:f>IF(Items!A14="","",Items!Q14)</x:f>
        <x:v>365.16799727769404</x:v>
      </x:c>
      <x:c r="H22" s="54" t="n">
        <x:f>IF(Items!A14="","",Items!S14)</x:f>
        <x:v>449.15663665156364</x:v>
      </x:c>
    </x:row>
    <x:row r="23" ht="15" hidden="0" customHeight="1">
      <x:c r="A23" s="21" t="n">
        <x:f>IF(Items!A15="","",ROW()-9)</x:f>
        <x:v>14</x:v>
      </x:c>
      <x:c r="B23" s="21" t="str">
        <x:f>IF(Items!A15="","",Items!T15)</x:f>
        <x:v>Silver Plain Jewellery 925 PENDANT (WISIOREK SREBRNY PRÓBY 925)</x:v>
      </x:c>
      <x:c r="C23" s="21" t="str">
        <x:f>IF(Items!A15="","",Items!F15)</x:f>
        <x:v>szt.</x:v>
      </x:c>
      <x:c r="D23" s="54" t="n">
        <x:f>IF(Items!A15="","",Items!G15)</x:f>
        <x:v>1</x:v>
      </x:c>
      <x:c r="E23" s="54" t="n">
        <x:f>IF(Items!A15="","",Items!R15)</x:f>
        <x:v>19.0191665248799</x:v>
      </x:c>
      <x:c r="F23" s="54" t="str">
        <x:f>IF(Items!A15="","","23%")</x:f>
        <x:v>23%</x:v>
      </x:c>
      <x:c r="G23" s="54" t="n">
        <x:f>IF(Items!A15="","",Items!Q15)</x:f>
        <x:v>19.0191665248799</x:v>
      </x:c>
      <x:c r="H23" s="54" t="n">
        <x:f>IF(Items!A15="","",Items!S15)</x:f>
        <x:v>23.393574825602276</x:v>
      </x:c>
    </x:row>
    <x:row r="24" ht="15" hidden="0" customHeight="1">
      <x:c r="A24" s="21" t="n">
        <x:f>IF(Items!A16="","",ROW()-9)</x:f>
        <x:v>15</x:v>
      </x:c>
      <x:c r="B24" s="21" t="str">
        <x:f>IF(Items!A16="","",Items!T16)</x:f>
        <x:v>Lab Grown Diamond 14KT Gold Jewellery RING (Pierścionek z diamentem hodowanym laboratoryjnie, wykonany ze złota próby 14 KT)</x:v>
      </x:c>
      <x:c r="C24" s="21" t="str">
        <x:f>IF(Items!A16="","",Items!F16)</x:f>
        <x:v>szt.</x:v>
      </x:c>
      <x:c r="D24" s="54" t="n">
        <x:f>IF(Items!A16="","",Items!G16)</x:f>
        <x:v>1</x:v>
      </x:c>
      <x:c r="E24" s="54" t="n">
        <x:f>IF(Items!A16="","",Items!R16)</x:f>
        <x:v>1222.7696587127841</x:v>
      </x:c>
      <x:c r="F24" s="54" t="str">
        <x:f>IF(Items!A16="","","23%")</x:f>
        <x:v>23%</x:v>
      </x:c>
      <x:c r="G24" s="54" t="n">
        <x:f>IF(Items!A16="","",Items!Q16)</x:f>
        <x:v>1222.7696587127841</x:v>
      </x:c>
      <x:c r="H24" s="54" t="n">
        <x:f>IF(Items!A16="","",Items!S16)</x:f>
        <x:v>1504.0066802167244</x:v>
      </x:c>
    </x:row>
    <x:row r="25" ht="15" hidden="0" customHeight="1">
      <x:c r="A25" s="21" t="n">
        <x:f>IF(Items!A17="","",ROW()-9)</x:f>
        <x:v>16</x:v>
      </x:c>
      <x:c r="B25" s="21" t="str">
        <x:f>IF(Items!A17="","",Items!T17)</x:f>
        <x:v>Plain 14KT Gold Jewellery RING (Prosty pierścień z 14-karatowego złota)</x:v>
      </x:c>
      <x:c r="C25" s="21" t="str">
        <x:f>IF(Items!A17="","",Items!F17)</x:f>
        <x:v>szt.</x:v>
      </x:c>
      <x:c r="D25" s="54" t="n">
        <x:f>IF(Items!A17="","",Items!G17)</x:f>
        <x:v>1</x:v>
      </x:c>
      <x:c r="E25" s="54" t="n">
        <x:f>IF(Items!A17="","",Items!R17)</x:f>
        <x:v>858.290241211858</x:v>
      </x:c>
      <x:c r="F25" s="54" t="str">
        <x:f>IF(Items!A17="","","23%")</x:f>
        <x:v>23%</x:v>
      </x:c>
      <x:c r="G25" s="54" t="n">
        <x:f>IF(Items!A17="","",Items!Q17)</x:f>
        <x:v>858.290241211858</x:v>
      </x:c>
      <x:c r="H25" s="54" t="n">
        <x:f>IF(Items!A17="","",Items!S17)</x:f>
        <x:v>1055.6969966905854</x:v>
      </x:c>
    </x:row>
    <x:row r="26" ht="15" hidden="0" customHeight="1">
      <x:c r="A26" s="21" t="str">
        <x:f>IF(Items!A18="","",ROW()-9)</x:f>
      </x:c>
      <x:c r="B26" s="21" t="str">
        <x:f>IF(Items!A18="","",Items!T18)</x:f>
      </x:c>
      <x:c r="C26" s="21" t="str">
        <x:f>IF(Items!A18="","",Items!F18)</x:f>
      </x:c>
      <x:c r="D26" s="54" t="str">
        <x:f>IF(Items!A18="","",Items!G18)</x:f>
      </x:c>
      <x:c r="E26" s="54" t="str">
        <x:f>IF(Items!A18="","",Items!R18)</x:f>
      </x:c>
      <x:c r="F26" s="54" t="str">
        <x:f>IF(Items!A18="","","23%")</x:f>
      </x:c>
      <x:c r="G26" s="54" t="str">
        <x:f>IF(Items!A18="","",Items!Q18)</x:f>
      </x:c>
      <x:c r="H26" s="54" t="str">
        <x:f>IF(Items!A18="","",Items!S18)</x:f>
      </x:c>
    </x:row>
    <x:row r="27" ht="15" hidden="0" customHeight="1">
      <x:c r="A27" s="21" t="str">
        <x:f>IF(Items!A19="","",ROW()-9)</x:f>
      </x:c>
      <x:c r="B27" s="21" t="str">
        <x:f>IF(Items!A19="","",Items!T19)</x:f>
      </x:c>
      <x:c r="C27" s="21" t="str">
        <x:f>IF(Items!A19="","",Items!F19)</x:f>
      </x:c>
      <x:c r="D27" s="54" t="str">
        <x:f>IF(Items!A19="","",Items!G19)</x:f>
      </x:c>
      <x:c r="E27" s="54" t="str">
        <x:f>IF(Items!A19="","",Items!R19)</x:f>
      </x:c>
      <x:c r="F27" s="54" t="str">
        <x:f>IF(Items!A19="","","23%")</x:f>
      </x:c>
      <x:c r="G27" s="54" t="str">
        <x:f>IF(Items!A19="","",Items!Q19)</x:f>
      </x:c>
      <x:c r="H27" s="54" t="str">
        <x:f>IF(Items!A19="","",Items!S19)</x:f>
      </x:c>
    </x:row>
    <x:row r="28" ht="15" hidden="0" customHeight="1">
      <x:c r="A28" s="21" t="str">
        <x:f>IF(Items!A20="","",ROW()-9)</x:f>
      </x:c>
      <x:c r="B28" s="21" t="str">
        <x:f>IF(Items!A20="","",Items!T20)</x:f>
      </x:c>
      <x:c r="C28" s="21" t="str">
        <x:f>IF(Items!A20="","",Items!F20)</x:f>
      </x:c>
      <x:c r="D28" s="54" t="str">
        <x:f>IF(Items!A20="","",Items!G20)</x:f>
      </x:c>
      <x:c r="E28" s="54" t="str">
        <x:f>IF(Items!A20="","",Items!R20)</x:f>
      </x:c>
      <x:c r="F28" s="54" t="str">
        <x:f>IF(Items!A20="","","23%")</x:f>
      </x:c>
      <x:c r="G28" s="54" t="str">
        <x:f>IF(Items!A20="","",Items!Q20)</x:f>
      </x:c>
      <x:c r="H28" s="54" t="str">
        <x:f>IF(Items!A20="","",Items!S20)</x:f>
      </x:c>
    </x:row>
    <x:row r="29" ht="15" hidden="0" customHeight="1">
      <x:c r="A29" s="21" t="str">
        <x:f>IF(Items!A21="","",ROW()-9)</x:f>
      </x:c>
      <x:c r="B29" s="21" t="str">
        <x:f>IF(Items!A21="","",Items!T21)</x:f>
      </x:c>
      <x:c r="C29" s="21" t="str">
        <x:f>IF(Items!A21="","",Items!F21)</x:f>
      </x:c>
      <x:c r="D29" s="54" t="str">
        <x:f>IF(Items!A21="","",Items!G21)</x:f>
      </x:c>
      <x:c r="E29" s="54" t="str">
        <x:f>IF(Items!A21="","",Items!R21)</x:f>
      </x:c>
      <x:c r="F29" s="54" t="str">
        <x:f>IF(Items!A21="","","23%")</x:f>
      </x:c>
      <x:c r="G29" s="54" t="str">
        <x:f>IF(Items!A21="","",Items!Q21)</x:f>
      </x:c>
      <x:c r="H29" s="54" t="str">
        <x:f>IF(Items!A21="","",Items!S21)</x:f>
      </x:c>
    </x:row>
    <x:row r="30" ht="15" hidden="0" customHeight="1">
      <x:c r="A30" s="21" t="str">
        <x:f>IF(Items!A22="","",ROW()-9)</x:f>
      </x:c>
      <x:c r="B30" s="21" t="str">
        <x:f>IF(Items!A22="","",Items!T22)</x:f>
      </x:c>
      <x:c r="C30" s="21" t="str">
        <x:f>IF(Items!A22="","",Items!F22)</x:f>
      </x:c>
      <x:c r="D30" s="54" t="str">
        <x:f>IF(Items!A22="","",Items!G22)</x:f>
      </x:c>
      <x:c r="E30" s="54" t="str">
        <x:f>IF(Items!A22="","",Items!R22)</x:f>
      </x:c>
      <x:c r="F30" s="54" t="str">
        <x:f>IF(Items!A22="","","23%")</x:f>
      </x:c>
      <x:c r="G30" s="54" t="str">
        <x:f>IF(Items!A22="","",Items!Q22)</x:f>
      </x:c>
      <x:c r="H30" s="54" t="str">
        <x:f>IF(Items!A22="","",Items!S22)</x:f>
      </x:c>
    </x:row>
    <x:row r="31" ht="15" hidden="0" customHeight="1">
      <x:c r="A31" s="21" t="str">
        <x:f>IF(Items!A23="","",ROW()-9)</x:f>
      </x:c>
      <x:c r="B31" s="21" t="str">
        <x:f>IF(Items!A23="","",Items!T23)</x:f>
      </x:c>
      <x:c r="C31" s="21" t="str">
        <x:f>IF(Items!A23="","",Items!F23)</x:f>
      </x:c>
      <x:c r="D31" s="54" t="str">
        <x:f>IF(Items!A23="","",Items!G23)</x:f>
      </x:c>
      <x:c r="E31" s="54" t="str">
        <x:f>IF(Items!A23="","",Items!R23)</x:f>
      </x:c>
      <x:c r="F31" s="54" t="str">
        <x:f>IF(Items!A23="","","23%")</x:f>
      </x:c>
      <x:c r="G31" s="54" t="str">
        <x:f>IF(Items!A23="","",Items!Q23)</x:f>
      </x:c>
      <x:c r="H31" s="54" t="str">
        <x:f>IF(Items!A23="","",Items!S23)</x:f>
      </x:c>
    </x:row>
    <x:row r="32" ht="15" hidden="0" customHeight="1">
      <x:c r="A32" s="21" t="str">
        <x:f>IF(Items!A24="","",ROW()-9)</x:f>
      </x:c>
      <x:c r="B32" s="21" t="str">
        <x:f>IF(Items!A24="","",Items!T24)</x:f>
      </x:c>
      <x:c r="C32" s="21" t="str">
        <x:f>IF(Items!A24="","",Items!F24)</x:f>
      </x:c>
      <x:c r="D32" s="54" t="str">
        <x:f>IF(Items!A24="","",Items!G24)</x:f>
      </x:c>
      <x:c r="E32" s="54" t="str">
        <x:f>IF(Items!A24="","",Items!R24)</x:f>
      </x:c>
      <x:c r="F32" s="54" t="str">
        <x:f>IF(Items!A24="","","23%")</x:f>
      </x:c>
      <x:c r="G32" s="54" t="str">
        <x:f>IF(Items!A24="","",Items!Q24)</x:f>
      </x:c>
      <x:c r="H32" s="54" t="str">
        <x:f>IF(Items!A24="","",Items!S24)</x:f>
      </x:c>
    </x:row>
    <x:row r="33" ht="15" hidden="0" customHeight="1">
      <x:c r="A33" s="21" t="str">
        <x:f>IF(Items!A25="","",ROW()-9)</x:f>
      </x:c>
      <x:c r="B33" s="21" t="str">
        <x:f>IF(Items!A25="","",Items!T25)</x:f>
      </x:c>
      <x:c r="C33" s="21" t="str">
        <x:f>IF(Items!A25="","",Items!F25)</x:f>
      </x:c>
      <x:c r="D33" s="54" t="str">
        <x:f>IF(Items!A25="","",Items!G25)</x:f>
      </x:c>
      <x:c r="E33" s="54" t="str">
        <x:f>IF(Items!A25="","",Items!R25)</x:f>
      </x:c>
      <x:c r="F33" s="54" t="str">
        <x:f>IF(Items!A25="","","23%")</x:f>
      </x:c>
      <x:c r="G33" s="54" t="str">
        <x:f>IF(Items!A25="","",Items!Q25)</x:f>
      </x:c>
      <x:c r="H33" s="54" t="str">
        <x:f>IF(Items!A25="","",Items!S25)</x:f>
      </x:c>
    </x:row>
    <x:row r="34" ht="15" hidden="0" customHeight="1">
      <x:c r="A34" s="21" t="str">
        <x:f>IF(Items!A26="","",ROW()-9)</x:f>
      </x:c>
      <x:c r="B34" s="21" t="str">
        <x:f>IF(Items!A26="","",Items!T26)</x:f>
      </x:c>
      <x:c r="C34" s="21" t="str">
        <x:f>IF(Items!A26="","",Items!F26)</x:f>
      </x:c>
      <x:c r="D34" s="54" t="str">
        <x:f>IF(Items!A26="","",Items!G26)</x:f>
      </x:c>
      <x:c r="E34" s="54" t="str">
        <x:f>IF(Items!A26="","",Items!R26)</x:f>
      </x:c>
      <x:c r="F34" s="54" t="str">
        <x:f>IF(Items!A26="","","23%")</x:f>
      </x:c>
      <x:c r="G34" s="54" t="str">
        <x:f>IF(Items!A26="","",Items!Q26)</x:f>
      </x:c>
      <x:c r="H34" s="54" t="str">
        <x:f>IF(Items!A26="","",Items!S26)</x:f>
      </x:c>
    </x:row>
    <x:row r="35" ht="15" hidden="0" customHeight="1">
      <x:c r="A35" s="21" t="str">
        <x:f>IF(Items!A27="","",ROW()-9)</x:f>
      </x:c>
      <x:c r="B35" s="21" t="str">
        <x:f>IF(Items!A27="","",Items!T27)</x:f>
      </x:c>
      <x:c r="C35" s="21" t="str">
        <x:f>IF(Items!A27="","",Items!F27)</x:f>
      </x:c>
      <x:c r="D35" s="54" t="str">
        <x:f>IF(Items!A27="","",Items!G27)</x:f>
      </x:c>
      <x:c r="E35" s="54" t="str">
        <x:f>IF(Items!A27="","",Items!R27)</x:f>
      </x:c>
      <x:c r="F35" s="54" t="str">
        <x:f>IF(Items!A27="","","23%")</x:f>
      </x:c>
      <x:c r="G35" s="54" t="str">
        <x:f>IF(Items!A27="","",Items!Q27)</x:f>
      </x:c>
      <x:c r="H35" s="54" t="str">
        <x:f>IF(Items!A27="","",Items!S27)</x:f>
      </x:c>
    </x:row>
    <x:row r="36" ht="15" hidden="0" customHeight="1">
      <x:c r="A36" s="21" t="str">
        <x:f>IF(Items!A28="","",ROW()-9)</x:f>
      </x:c>
      <x:c r="B36" s="21" t="str">
        <x:f>IF(Items!A28="","",Items!T28)</x:f>
      </x:c>
      <x:c r="C36" s="21" t="str">
        <x:f>IF(Items!A28="","",Items!F28)</x:f>
      </x:c>
      <x:c r="D36" s="54" t="str">
        <x:f>IF(Items!A28="","",Items!G28)</x:f>
      </x:c>
      <x:c r="E36" s="54" t="str">
        <x:f>IF(Items!A28="","",Items!R28)</x:f>
      </x:c>
      <x:c r="F36" s="54" t="str">
        <x:f>IF(Items!A28="","","23%")</x:f>
      </x:c>
      <x:c r="G36" s="54" t="str">
        <x:f>IF(Items!A28="","",Items!Q28)</x:f>
      </x:c>
      <x:c r="H36" s="54" t="str">
        <x:f>IF(Items!A28="","",Items!S28)</x:f>
      </x:c>
    </x:row>
    <x:row r="37" ht="15" hidden="0" customHeight="1">
      <x:c r="A37" s="21" t="str">
        <x:f>IF(Items!A29="","",ROW()-9)</x:f>
      </x:c>
      <x:c r="B37" s="21" t="str">
        <x:f>IF(Items!A29="","",Items!T29)</x:f>
      </x:c>
      <x:c r="C37" s="21" t="str">
        <x:f>IF(Items!A29="","",Items!F29)</x:f>
      </x:c>
      <x:c r="D37" s="54" t="str">
        <x:f>IF(Items!A29="","",Items!G29)</x:f>
      </x:c>
      <x:c r="E37" s="54" t="str">
        <x:f>IF(Items!A29="","",Items!R29)</x:f>
      </x:c>
      <x:c r="F37" s="54" t="str">
        <x:f>IF(Items!A29="","","23%")</x:f>
      </x:c>
      <x:c r="G37" s="54" t="str">
        <x:f>IF(Items!A29="","",Items!Q29)</x:f>
      </x:c>
      <x:c r="H37" s="54" t="str">
        <x:f>IF(Items!A29="","",Items!S29)</x:f>
      </x:c>
    </x:row>
    <x:row r="38" ht="15" hidden="0" customHeight="1">
      <x:c r="A38" s="21" t="str">
        <x:f>IF(Items!A30="","",ROW()-9)</x:f>
      </x:c>
      <x:c r="B38" s="21" t="str">
        <x:f>IF(Items!A30="","",Items!T30)</x:f>
      </x:c>
      <x:c r="C38" s="21" t="str">
        <x:f>IF(Items!A30="","",Items!F30)</x:f>
      </x:c>
      <x:c r="D38" s="54" t="str">
        <x:f>IF(Items!A30="","",Items!G30)</x:f>
      </x:c>
      <x:c r="E38" s="54" t="str">
        <x:f>IF(Items!A30="","",Items!R30)</x:f>
      </x:c>
      <x:c r="F38" s="54" t="str">
        <x:f>IF(Items!A30="","","23%")</x:f>
      </x:c>
      <x:c r="G38" s="54" t="str">
        <x:f>IF(Items!A30="","",Items!Q30)</x:f>
      </x:c>
      <x:c r="H38" s="54" t="str">
        <x:f>IF(Items!A30="","",Items!S30)</x:f>
      </x:c>
    </x:row>
    <x:row r="39" ht="15" hidden="0" customHeight="1">
      <x:c r="A39" s="21" t="str">
        <x:f>IF(Items!A31="","",ROW()-9)</x:f>
      </x:c>
      <x:c r="B39" s="21" t="str">
        <x:f>IF(Items!A31="","",Items!T31)</x:f>
      </x:c>
      <x:c r="C39" s="21" t="str">
        <x:f>IF(Items!A31="","",Items!F31)</x:f>
      </x:c>
      <x:c r="D39" s="54" t="str">
        <x:f>IF(Items!A31="","",Items!G31)</x:f>
      </x:c>
      <x:c r="E39" s="54" t="str">
        <x:f>IF(Items!A31="","",Items!R31)</x:f>
      </x:c>
      <x:c r="F39" s="54" t="str">
        <x:f>IF(Items!A31="","","23%")</x:f>
      </x:c>
      <x:c r="G39" s="54" t="str">
        <x:f>IF(Items!A31="","",Items!Q31)</x:f>
      </x:c>
      <x:c r="H39" s="54" t="str">
        <x:f>IF(Items!A31="","",Items!S31)</x:f>
      </x:c>
    </x:row>
    <x:row r="40" ht="15" hidden="0" customHeight="1">
      <x:c r="A40" s="21"/>
      <x:c r="B40" s="21"/>
      <x:c r="C40" s="21"/>
      <x:c r="D40" s="54"/>
      <x:c r="E40" s="54"/>
      <x:c r="F40" s="54"/>
      <x:c r="G40" s="54"/>
      <x:c r="H40" s="54"/>
    </x:row>
    <x:row r="41" ht="15" hidden="0" customHeight="1">
      <x:c r="A41" s="21"/>
      <x:c r="B41" s="21"/>
      <x:c r="C41" s="21"/>
      <x:c r="D41" s="21"/>
      <x:c r="E41" s="21"/>
      <x:c r="F41" s="21"/>
      <x:c r="G41" s="21"/>
      <x:c r="H41" s="21"/>
    </x:row>
    <x:row r="42" ht="15" hidden="0" customHeight="1">
      <x:c r="A42" s="48" t="str">
        <x:v>UWAGI</x:v>
      </x:c>
      <x:c r="B42" s="21"/>
      <x:c r="C42" s="21"/>
      <x:c r="D42" s="21"/>
      <x:c r="E42" s="21"/>
      <x:c r="F42" s="21"/>
      <x:c r="G42" s="21"/>
      <x:c r="H42" s="21"/>
    </x:row>
    <x:row r="43" ht="122.0703125" hidden="0" customHeight="1">
      <x:c r="A43" s="36" t="str">
        <x:f>CONCAT("Applies to: Invoice No. ",Invoices!A2," - ",RIGHT(Invoices!A7,3)," Date : ",Invoices!B2)</x:f>
        <x:v>Applies to: Invoice No. EJL/26-27/039 - 44 Date : 10-04-2026</x:v>
      </x:c>
      <x:c r="B43" s="21"/>
      <x:c r="C43" s="21"/>
      <x:c r="D43" s="21"/>
      <x:c r="E43" s="21"/>
      <x:c r="F43" s="21"/>
      <x:c r="G43" s="21"/>
      <x:c r="H43" s="21"/>
    </x:row>
    <x:row r="44" ht="61.03515625" hidden="0" customHeight="1">
      <x:c r="A44" s="36" t="str">
        <x:f>CONCAT("USD RATE: 1 USD = ",TEXT(Setup!B7,"0.0000")," PLN")</x:f>
        <x:v>USD RATE: 1 USD = 3.6506 PLN</x:v>
      </x:c>
      <x:c r="B44" s="21"/>
      <x:c r="C44" s="21"/>
      <x:c r="D44" s="21"/>
      <x:c r="E44" s="21"/>
      <x:c r="F44" s="21"/>
      <x:c r="G44" s="21"/>
      <x:c r="H44" s="21"/>
    </x:row>
    <x:row r="45" ht="292.96875" hidden="0" customHeight="1">
      <x:c r="A45" s="36" t="str">
        <x:f>CONCAT("Admitted for circulation in the territory of the Republic of Poland on the basis of: ",Setup!B8," Own number: ",Setup!B9," of dt ",Setup!B10)</x:f>
        <x:v>Admitted for circulation in the territory of the Republic of Poland on the basis of: 26PL44302D008N8OR0 Own number: 26S00Q8O0S of dt 15.04.2026</x:v>
      </x:c>
      <x:c r="B45" s="21"/>
      <x:c r="C45" s="21"/>
      <x:c r="D45" s="21"/>
      <x:c r="E45" s="21"/>
      <x:c r="F45" s="21"/>
      <x:c r="G45" s="21"/>
      <x:c r="H45" s="21"/>
    </x:row>
    <x:row r="46" ht="73.2421875" hidden="0" customHeight="1">
      <x:c r="A46" s="36" t="str">
        <x:v>DHL EXPRESS (POLAND) SP. Z O.O.</x:v>
      </x:c>
      <x:c r="B46" s="21"/>
      <x:c r="C46" s="21"/>
      <x:c r="D46" s="21"/>
      <x:c r="E46" s="21"/>
      <x:c r="F46" s="21"/>
      <x:c r="G46" s="21"/>
      <x:c r="H46" s="21"/>
    </x:row>
    <x:row r="47" ht="15" hidden="0" customHeight="1">
      <x:c r="A47" s="21"/>
      <x:c r="B47" s="21"/>
      <x:c r="C47" s="21"/>
      <x:c r="D47" s="21"/>
      <x:c r="E47" s="21"/>
      <x:c r="F47" s="21"/>
      <x:c r="G47" s="21"/>
      <x:c r="H47" s="21"/>
    </x:row>
    <x:row r="48" ht="15" hidden="0" customHeight="1">
      <x:c r="A48" s="21"/>
      <x:c r="B48" s="21"/>
      <x:c r="C48" s="21"/>
      <x:c r="D48" s="21"/>
      <x:c r="E48" s="21"/>
      <x:c r="F48" s="31" t="str">
        <x:v>Razem netto</x:v>
      </x:c>
      <x:c r="G48" s="56" t="n">
        <x:f>Setup!B13</x:f>
        <x:v>49668.46199999999</x:v>
      </x:c>
      <x:c r="H48" s="21"/>
    </x:row>
    <x:row r="49" ht="15" hidden="0" customHeight="1">
      <x:c r="A49" s="21"/>
      <x:c r="B49" s="21"/>
      <x:c r="C49" s="21"/>
      <x:c r="D49" s="21"/>
      <x:c r="E49" s="21"/>
      <x:c r="F49" s="31" t="str">
        <x:v>Razem brutto</x:v>
      </x:c>
      <x:c r="G49" s="56" t="n">
        <x:f>Setup!B14</x:f>
        <x:v>61092.208259999985</x:v>
      </x:c>
      <x:c r="H49" s="21"/>
    </x:row>
  </x:sheetData>
  <x:mergeCells>
    <x:mergeCell ref="A1:H1"/>
    <x:mergeCell ref="A43:H43"/>
    <x:mergeCell ref="A44:H44"/>
    <x:mergeCell ref="A45:H45"/>
    <x:mergeCell ref="A46:H46"/>
    <x:mergeCell ref="A42:H42"/>
  </x:mergeCells>
  <x:pageMargins left="0.7" right="0.7" top="0.75" bottom="0.75" header="0.3" footer="0.3"/>
</x:worksheet>
</file>