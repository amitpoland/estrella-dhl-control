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epak\d\Offical\Downloads\Shioment 06.04.26\"/>
    </mc:Choice>
  </mc:AlternateContent>
  <bookViews>
    <workbookView xWindow="0" yWindow="0" windowWidth="23040" windowHeight="8784"/>
  </bookViews>
  <sheets>
    <sheet name="EstPolPkCLnt" sheetId="1" r:id="rId1"/>
  </sheets>
  <calcPr calcId="162913"/>
</workbook>
</file>

<file path=xl/calcChain.xml><?xml version="1.0" encoding="utf-8"?>
<calcChain xmlns="http://schemas.openxmlformats.org/spreadsheetml/2006/main">
  <c r="P18" i="1" l="1"/>
  <c r="M16" i="1"/>
  <c r="S13" i="1"/>
  <c r="S11" i="1"/>
  <c r="P14" i="1" l="1"/>
  <c r="P13" i="1" l="1"/>
  <c r="P11" i="1"/>
</calcChain>
</file>

<file path=xl/sharedStrings.xml><?xml version="1.0" encoding="utf-8"?>
<sst xmlns="http://schemas.openxmlformats.org/spreadsheetml/2006/main" count="74" uniqueCount="42">
  <si>
    <t>SHIPMENT PACKING LIST</t>
  </si>
  <si>
    <t>Verhoeven Joaillier</t>
  </si>
  <si>
    <t>Invoice #</t>
  </si>
  <si>
    <t>37, Place Jean Bart</t>
  </si>
  <si>
    <t>Dated :</t>
  </si>
  <si>
    <t>59140 Dunkerque</t>
  </si>
  <si>
    <t/>
  </si>
  <si>
    <t>33328668275</t>
  </si>
  <si>
    <t>Pk Sr</t>
  </si>
  <si>
    <t>Ctg</t>
  </si>
  <si>
    <t>Client Po</t>
  </si>
  <si>
    <t>Design No</t>
  </si>
  <si>
    <t>Karat</t>
  </si>
  <si>
    <t>Color</t>
  </si>
  <si>
    <t>Quality</t>
  </si>
  <si>
    <t>Dia Wt</t>
  </si>
  <si>
    <t>Col Wt</t>
  </si>
  <si>
    <t>Qty</t>
  </si>
  <si>
    <t>Value</t>
  </si>
  <si>
    <t>Total Value</t>
  </si>
  <si>
    <t>Size</t>
  </si>
  <si>
    <t>RNG</t>
  </si>
  <si>
    <t>Project Deboom</t>
  </si>
  <si>
    <t>CSTR07596</t>
  </si>
  <si>
    <t>18KT</t>
  </si>
  <si>
    <t>WPD</t>
  </si>
  <si>
    <t>58.00</t>
  </si>
  <si>
    <r>
      <rPr>
        <b/>
        <sz val="8"/>
        <color rgb="FF000000"/>
        <rFont val="Arial"/>
        <family val="2"/>
      </rPr>
      <t xml:space="preserve">Total </t>
    </r>
    <r>
      <rPr>
        <b/>
        <sz val="8"/>
        <color rgb="FF000000"/>
        <rFont val="Arial"/>
        <family val="2"/>
      </rPr>
      <t>18KT Ring</t>
    </r>
  </si>
  <si>
    <t>Project Deleplanque</t>
  </si>
  <si>
    <t>J4007R01591-.62</t>
  </si>
  <si>
    <t>PT950</t>
  </si>
  <si>
    <t>-</t>
  </si>
  <si>
    <t xml:space="preserve"> GH-SI </t>
  </si>
  <si>
    <t>52.0</t>
  </si>
  <si>
    <r>
      <rPr>
        <b/>
        <sz val="8"/>
        <color rgb="FF000000"/>
        <rFont val="Arial"/>
        <family val="2"/>
      </rPr>
      <t xml:space="preserve">Total </t>
    </r>
    <r>
      <rPr>
        <b/>
        <sz val="8"/>
        <color rgb="FF000000"/>
        <rFont val="Arial"/>
        <family val="2"/>
      </rPr>
      <t>PT950 Ring</t>
    </r>
  </si>
  <si>
    <t>Grand Total</t>
  </si>
  <si>
    <t>ins</t>
  </si>
  <si>
    <t>frt</t>
  </si>
  <si>
    <t>EJL/26-27/013 - 1</t>
  </si>
  <si>
    <t>EJL/26-27/013 - 2</t>
  </si>
  <si>
    <t>PROF 68/2026</t>
  </si>
  <si>
    <t>07.04.2026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</si>
</sst>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9]0.00;\(0.00\)"/>
    <numFmt numFmtId="165" formatCode="[$-10409]&quot;€&quot;\ 0;\(&quot;€&quot;\ 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AFEEEE"/>
        <bgColor rgb="FFAFEEEE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/>
      <right style="thin">
        <color rgb="FF808080"/>
      </right>
      <top style="thin">
        <color rgb="FF808080"/>
      </top>
      <bottom style="medium">
        <color indexed="64"/>
      </bottom>
      <diagonal/>
    </border>
    <border>
      <left/>
      <right/>
      <top style="thin">
        <color rgb="FF808080"/>
      </top>
      <bottom style="medium">
        <color indexed="64"/>
      </bottom>
      <diagonal/>
    </border>
    <border>
      <left/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vertical="top" wrapText="1" readingOrder="1"/>
    </xf>
    <xf numFmtId="165" fontId="3" fillId="0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165" fontId="4" fillId="3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2" fillId="2" borderId="9" xfId="0" applyNumberFormat="1" applyFont="1" applyFill="1" applyBorder="1" applyAlignment="1">
      <alignment vertical="top" wrapText="1" readingOrder="1"/>
    </xf>
    <xf numFmtId="0" fontId="3" fillId="0" borderId="9" xfId="0" applyNumberFormat="1" applyFont="1" applyFill="1" applyBorder="1" applyAlignment="1">
      <alignment vertical="top" wrapText="1" readingOrder="1"/>
    </xf>
    <xf numFmtId="0" fontId="3" fillId="3" borderId="9" xfId="0" applyNumberFormat="1" applyFont="1" applyFill="1" applyBorder="1" applyAlignment="1">
      <alignment vertical="top" wrapText="1" readingOrder="1"/>
    </xf>
    <xf numFmtId="0" fontId="3" fillId="2" borderId="11" xfId="0" applyNumberFormat="1" applyFont="1" applyFill="1" applyBorder="1" applyAlignment="1">
      <alignment vertical="top" wrapText="1" readingOrder="1"/>
    </xf>
    <xf numFmtId="0" fontId="3" fillId="2" borderId="12" xfId="0" applyNumberFormat="1" applyFont="1" applyFill="1" applyBorder="1" applyAlignment="1">
      <alignment vertical="top" wrapText="1" readingOrder="1"/>
    </xf>
    <xf numFmtId="0" fontId="4" fillId="2" borderId="12" xfId="0" applyNumberFormat="1" applyFont="1" applyFill="1" applyBorder="1" applyAlignment="1">
      <alignment vertical="top" wrapText="1" readingOrder="1"/>
    </xf>
    <xf numFmtId="165" fontId="4" fillId="2" borderId="12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165" fontId="5" fillId="0" borderId="0" xfId="0" applyNumberFormat="1" applyFont="1" applyFill="1" applyBorder="1"/>
    <xf numFmtId="0" fontId="2" fillId="0" borderId="7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2" borderId="4" xfId="0" applyNumberFormat="1" applyFont="1" applyFill="1" applyBorder="1" applyAlignment="1">
      <alignment horizontal="center" vertical="top" wrapText="1" readingOrder="1"/>
    </xf>
    <xf numFmtId="0" fontId="1" fillId="0" borderId="5" xfId="0" applyFont="1" applyFill="1" applyBorder="1"/>
    <xf numFmtId="0" fontId="1" fillId="0" borderId="6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14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 applyAlignment="1">
      <alignment horizontal="left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10" xfId="0" applyNumberFormat="1" applyFont="1" applyFill="1" applyBorder="1" applyAlignment="1">
      <alignment vertical="top" wrapText="1"/>
    </xf>
    <xf numFmtId="164" fontId="3" fillId="0" borderId="1" xfId="0" applyNumberFormat="1" applyFont="1" applyFill="1" applyBorder="1" applyAlignment="1">
      <alignment vertical="top" wrapText="1" readingOrder="1"/>
    </xf>
    <xf numFmtId="165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164" fontId="4" fillId="2" borderId="12" xfId="0" applyNumberFormat="1" applyFont="1" applyFill="1" applyBorder="1" applyAlignment="1">
      <alignment vertical="top" wrapText="1" readingOrder="1"/>
    </xf>
    <xf numFmtId="0" fontId="1" fillId="0" borderId="13" xfId="0" applyNumberFormat="1" applyFont="1" applyFill="1" applyBorder="1" applyAlignment="1">
      <alignment vertical="top" wrapText="1"/>
    </xf>
    <xf numFmtId="0" fontId="3" fillId="2" borderId="12" xfId="0" applyNumberFormat="1" applyFont="1" applyFill="1" applyBorder="1" applyAlignment="1">
      <alignment vertical="top" wrapText="1" readingOrder="1"/>
    </xf>
    <xf numFmtId="0" fontId="1" fillId="0" borderId="14" xfId="0" applyNumberFormat="1" applyFont="1" applyFill="1" applyBorder="1" applyAlignment="1">
      <alignment vertical="top" wrapText="1"/>
    </xf>
    <xf numFmtId="0" fontId="1" fillId="0" borderId="15" xfId="0" applyNumberFormat="1" applyFont="1" applyFill="1" applyBorder="1" applyAlignment="1">
      <alignment vertical="top" wrapText="1"/>
    </xf>
    <xf numFmtId="0" fontId="0" fillId="0" borderId="16" xfId="0" quotePrefix="1" applyFont="1" applyFill="1" applyBorder="1" applyAlignment="1">
      <alignment horizontal="left" vertical="top"/>
    </xf>
    <xf numFmtId="0" fontId="6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AFEEE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firma.pl/invoices/view/455904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8"/>
  <sheetViews>
    <sheetView showGridLines="0" tabSelected="1" zoomScaleNormal="100" workbookViewId="0">
      <selection activeCell="T17" sqref="T17"/>
    </sheetView>
  </sheetViews>
  <sheetFormatPr defaultRowHeight="14.4" x14ac:dyDescent="0.3"/>
  <cols>
    <col min="1" max="1" width="1.5546875" customWidth="1"/>
    <col min="2" max="2" width="6.6640625" customWidth="1"/>
    <col min="3" max="3" width="8.109375" customWidth="1"/>
    <col min="4" max="4" width="18.33203125" customWidth="1"/>
    <col min="5" max="5" width="19.6640625" customWidth="1"/>
    <col min="6" max="6" width="7.5546875" customWidth="1"/>
    <col min="7" max="7" width="6.5546875" customWidth="1"/>
    <col min="8" max="8" width="14.6640625" customWidth="1"/>
    <col min="9" max="9" width="7.88671875" customWidth="1"/>
    <col min="10" max="10" width="8" customWidth="1"/>
    <col min="11" max="11" width="6.5546875" customWidth="1"/>
    <col min="12" max="12" width="1.33203125" customWidth="1"/>
    <col min="13" max="13" width="9.6640625" customWidth="1"/>
    <col min="14" max="14" width="0.5546875" customWidth="1"/>
    <col min="15" max="15" width="0.6640625" customWidth="1"/>
    <col min="16" max="16" width="11.109375" customWidth="1"/>
    <col min="17" max="17" width="7.33203125" customWidth="1"/>
    <col min="18" max="18" width="1.33203125" customWidth="1"/>
    <col min="19" max="19" width="9.109375" customWidth="1"/>
    <col min="20" max="20" width="15.44140625" bestFit="1" customWidth="1"/>
  </cols>
  <sheetData>
    <row r="1" spans="2:20" ht="16.2" customHeight="1" thickBot="1" x14ac:dyDescent="0.35"/>
    <row r="2" spans="2:20" ht="17.100000000000001" customHeigh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2:20" ht="5.0999999999999996" customHeight="1" x14ac:dyDescent="0.3">
      <c r="B3" s="9"/>
      <c r="R3" s="10"/>
    </row>
    <row r="4" spans="2:20" ht="17.100000000000001" customHeight="1" x14ac:dyDescent="0.3">
      <c r="B4" s="20" t="s">
        <v>1</v>
      </c>
      <c r="C4" s="21"/>
      <c r="D4" s="21"/>
      <c r="L4" s="27" t="s">
        <v>2</v>
      </c>
      <c r="M4" s="21"/>
      <c r="O4" s="27" t="s">
        <v>40</v>
      </c>
      <c r="P4" s="21"/>
      <c r="Q4" s="21"/>
      <c r="R4" s="10"/>
      <c r="T4" s="43" t="s">
        <v>40</v>
      </c>
    </row>
    <row r="5" spans="2:20" ht="17.100000000000001" customHeight="1" x14ac:dyDescent="0.3">
      <c r="B5" s="20" t="s">
        <v>3</v>
      </c>
      <c r="C5" s="21"/>
      <c r="D5" s="21"/>
      <c r="L5" s="27" t="s">
        <v>4</v>
      </c>
      <c r="M5" s="21"/>
      <c r="O5" s="28" t="s">
        <v>41</v>
      </c>
      <c r="P5" s="29"/>
      <c r="Q5" s="29"/>
      <c r="R5" s="10"/>
    </row>
    <row r="6" spans="2:20" ht="17.100000000000001" customHeight="1" x14ac:dyDescent="0.3">
      <c r="B6" s="20" t="s">
        <v>5</v>
      </c>
      <c r="C6" s="21"/>
      <c r="D6" s="21"/>
      <c r="R6" s="10"/>
    </row>
    <row r="7" spans="2:20" ht="17.100000000000001" customHeight="1" x14ac:dyDescent="0.3">
      <c r="B7" s="20" t="s">
        <v>7</v>
      </c>
      <c r="C7" s="21"/>
      <c r="D7" s="21"/>
      <c r="R7" s="10"/>
    </row>
    <row r="8" spans="2:20" ht="7.35" customHeight="1" x14ac:dyDescent="0.3">
      <c r="B8" s="9"/>
      <c r="R8" s="10"/>
    </row>
    <row r="9" spans="2:20" x14ac:dyDescent="0.3">
      <c r="B9" s="1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22" t="s">
        <v>17</v>
      </c>
      <c r="L9" s="23"/>
      <c r="M9" s="22" t="s">
        <v>18</v>
      </c>
      <c r="N9" s="30"/>
      <c r="O9" s="23"/>
      <c r="P9" s="1" t="s">
        <v>19</v>
      </c>
      <c r="Q9" s="22" t="s">
        <v>20</v>
      </c>
      <c r="R9" s="31"/>
    </row>
    <row r="10" spans="2:20" ht="22.5" customHeight="1" x14ac:dyDescent="0.3">
      <c r="B10" s="12">
        <v>2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31</v>
      </c>
      <c r="I10" s="3">
        <v>0</v>
      </c>
      <c r="J10" s="3">
        <v>0</v>
      </c>
      <c r="K10" s="32">
        <v>1</v>
      </c>
      <c r="L10" s="23"/>
      <c r="M10" s="33">
        <v>782</v>
      </c>
      <c r="N10" s="30"/>
      <c r="O10" s="23"/>
      <c r="P10" s="4">
        <v>782</v>
      </c>
      <c r="Q10" s="34" t="s">
        <v>26</v>
      </c>
      <c r="R10" s="31"/>
      <c r="S10" s="8"/>
    </row>
    <row r="11" spans="2:20" ht="22.5" customHeight="1" x14ac:dyDescent="0.3">
      <c r="B11" s="13" t="s">
        <v>6</v>
      </c>
      <c r="C11" s="5" t="s">
        <v>6</v>
      </c>
      <c r="D11" s="5" t="s">
        <v>6</v>
      </c>
      <c r="E11" s="6" t="s">
        <v>27</v>
      </c>
      <c r="F11" s="5" t="s">
        <v>6</v>
      </c>
      <c r="G11" s="5" t="s">
        <v>6</v>
      </c>
      <c r="H11" s="5" t="s">
        <v>6</v>
      </c>
      <c r="I11" s="5" t="s">
        <v>6</v>
      </c>
      <c r="J11" s="5" t="s">
        <v>6</v>
      </c>
      <c r="K11" s="35">
        <v>1</v>
      </c>
      <c r="L11" s="23"/>
      <c r="M11" s="36" t="s">
        <v>6</v>
      </c>
      <c r="N11" s="30"/>
      <c r="O11" s="23"/>
      <c r="P11" s="7">
        <f>SUM(P10)</f>
        <v>782</v>
      </c>
      <c r="Q11" s="36" t="s">
        <v>6</v>
      </c>
      <c r="R11" s="31"/>
      <c r="S11">
        <f>P11/K11</f>
        <v>782</v>
      </c>
      <c r="T11" s="42" t="s">
        <v>38</v>
      </c>
    </row>
    <row r="12" spans="2:20" ht="22.5" customHeight="1" x14ac:dyDescent="0.3">
      <c r="B12" s="12">
        <v>3</v>
      </c>
      <c r="C12" s="2" t="s">
        <v>21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3">
        <v>0.62</v>
      </c>
      <c r="J12" s="3">
        <v>0</v>
      </c>
      <c r="K12" s="32">
        <v>1</v>
      </c>
      <c r="L12" s="23"/>
      <c r="M12" s="33">
        <v>666</v>
      </c>
      <c r="N12" s="30"/>
      <c r="O12" s="23"/>
      <c r="P12" s="4">
        <v>666</v>
      </c>
      <c r="Q12" s="34" t="s">
        <v>33</v>
      </c>
      <c r="R12" s="31"/>
      <c r="S12" s="8"/>
    </row>
    <row r="13" spans="2:20" ht="22.5" customHeight="1" x14ac:dyDescent="0.3">
      <c r="B13" s="13" t="s">
        <v>6</v>
      </c>
      <c r="C13" s="5" t="s">
        <v>6</v>
      </c>
      <c r="D13" s="5" t="s">
        <v>6</v>
      </c>
      <c r="E13" s="6" t="s">
        <v>34</v>
      </c>
      <c r="F13" s="5" t="s">
        <v>6</v>
      </c>
      <c r="G13" s="5" t="s">
        <v>6</v>
      </c>
      <c r="H13" s="5" t="s">
        <v>6</v>
      </c>
      <c r="I13" s="5" t="s">
        <v>6</v>
      </c>
      <c r="J13" s="5" t="s">
        <v>6</v>
      </c>
      <c r="K13" s="35">
        <v>1</v>
      </c>
      <c r="L13" s="23"/>
      <c r="M13" s="36" t="s">
        <v>6</v>
      </c>
      <c r="N13" s="30"/>
      <c r="O13" s="23"/>
      <c r="P13" s="7">
        <f>SUM(P12)</f>
        <v>666</v>
      </c>
      <c r="Q13" s="36" t="s">
        <v>6</v>
      </c>
      <c r="R13" s="31"/>
      <c r="S13" s="18">
        <f>P13/K13</f>
        <v>666</v>
      </c>
      <c r="T13" s="42" t="s">
        <v>39</v>
      </c>
    </row>
    <row r="14" spans="2:20" ht="22.5" customHeight="1" thickBot="1" x14ac:dyDescent="0.35">
      <c r="B14" s="14" t="s">
        <v>6</v>
      </c>
      <c r="C14" s="15" t="s">
        <v>6</v>
      </c>
      <c r="D14" s="15" t="s">
        <v>6</v>
      </c>
      <c r="E14" s="16" t="s">
        <v>35</v>
      </c>
      <c r="F14" s="15" t="s">
        <v>6</v>
      </c>
      <c r="G14" s="15" t="s">
        <v>6</v>
      </c>
      <c r="H14" s="15" t="s">
        <v>6</v>
      </c>
      <c r="I14" s="15" t="s">
        <v>6</v>
      </c>
      <c r="J14" s="15" t="s">
        <v>6</v>
      </c>
      <c r="K14" s="37">
        <v>2</v>
      </c>
      <c r="L14" s="38"/>
      <c r="M14" s="39" t="s">
        <v>6</v>
      </c>
      <c r="N14" s="40"/>
      <c r="O14" s="38"/>
      <c r="P14" s="17">
        <f>P13+P11</f>
        <v>1448</v>
      </c>
      <c r="Q14" s="39" t="s">
        <v>6</v>
      </c>
      <c r="R14" s="41"/>
    </row>
    <row r="15" spans="2:20" ht="0" hidden="1" customHeight="1" x14ac:dyDescent="0.3"/>
    <row r="16" spans="2:20" ht="23.25" customHeight="1" x14ac:dyDescent="0.3">
      <c r="K16" t="s">
        <v>36</v>
      </c>
      <c r="M16">
        <f>P14*0.35%</f>
        <v>5.0679999999999996</v>
      </c>
      <c r="P16">
        <v>10</v>
      </c>
    </row>
    <row r="17" spans="13:16" x14ac:dyDescent="0.3">
      <c r="M17" t="s">
        <v>37</v>
      </c>
      <c r="P17">
        <v>85</v>
      </c>
    </row>
    <row r="18" spans="13:16" x14ac:dyDescent="0.3">
      <c r="P18" s="19">
        <f>P14+P16+P17</f>
        <v>1543</v>
      </c>
    </row>
  </sheetData>
  <mergeCells count="27">
    <mergeCell ref="K14:L14"/>
    <mergeCell ref="M14:O14"/>
    <mergeCell ref="Q14:R14"/>
    <mergeCell ref="K12:L12"/>
    <mergeCell ref="M12:O12"/>
    <mergeCell ref="Q12:R12"/>
    <mergeCell ref="K13:L13"/>
    <mergeCell ref="M13:O13"/>
    <mergeCell ref="Q13:R13"/>
    <mergeCell ref="K10:L10"/>
    <mergeCell ref="M10:O10"/>
    <mergeCell ref="Q10:R10"/>
    <mergeCell ref="K11:L11"/>
    <mergeCell ref="M11:O11"/>
    <mergeCell ref="Q11:R11"/>
    <mergeCell ref="B6:D6"/>
    <mergeCell ref="B7:D7"/>
    <mergeCell ref="K9:L9"/>
    <mergeCell ref="B2:R2"/>
    <mergeCell ref="B4:D4"/>
    <mergeCell ref="L4:M4"/>
    <mergeCell ref="O4:Q4"/>
    <mergeCell ref="B5:D5"/>
    <mergeCell ref="L5:M5"/>
    <mergeCell ref="O5:Q5"/>
    <mergeCell ref="M9:O9"/>
    <mergeCell ref="Q9:R9"/>
  </mergeCells>
  <hyperlinks>
    <hyperlink ref="T4" r:id="rId1" display="https://wfirma.pl/invoices/view/455904355"/>
  </hyperlinks>
  <pageMargins left="0.78740157480314998" right="0.78740157480314998" top="0.78740157480314998" bottom="0.78740157480314998" header="0.78740157480314998" footer="0.78740157480314998"/>
  <pageSetup paperSize="9" scale="93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EstPolPkCLnt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Tejal</cp:lastModifiedBy>
  <cp:lastPrinted>2026-04-07T13:00:39Z</cp:lastPrinted>
  <dcterms:modified xsi:type="dcterms:W3CDTF">2026-04-07T13:00:41Z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